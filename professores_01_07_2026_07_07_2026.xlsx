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pucpredu.sharepoint.com/teams/DiretriosCCPA/Documentos Compartilhados/10_Analistas/10.10_Diogo/3 - Automações/7 - prof-gestao-atividades/"/>
    </mc:Choice>
  </mc:AlternateContent>
  <xr:revisionPtr revIDLastSave="31" documentId="11_69F1969715C1AA11C142C4F0505ED87656CD6F12" xr6:coauthVersionLast="47" xr6:coauthVersionMax="47" xr10:uidLastSave="{C7C17289-017E-477F-8437-48A8267F1334}"/>
  <bookViews>
    <workbookView xWindow="4350" yWindow="16080" windowWidth="20730" windowHeight="11040" activeTab="1" xr2:uid="{00000000-000D-0000-FFFF-FFFF00000000}"/>
  </bookViews>
  <sheets>
    <sheet name="Professores" sheetId="1" r:id="rId1"/>
    <sheet name="CONSOLIDADO" sheetId="2" r:id="rId2"/>
  </sheets>
  <externalReferences>
    <externalReference r:id="rId3"/>
    <externalReference r:id="rId4"/>
  </externalReferences>
  <definedNames>
    <definedName name="_xlnm._FilterDatabase" localSheetId="0" hidden="1">Professores!$A$1:$F$206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" i="1"/>
  <c r="C3" i="1"/>
  <c r="F3" i="1" s="1"/>
  <c r="C4" i="1"/>
  <c r="F4" i="1" s="1"/>
  <c r="C5" i="1"/>
  <c r="F5" i="1" s="1"/>
  <c r="C6" i="1"/>
  <c r="F6" i="1" s="1"/>
  <c r="C7" i="1"/>
  <c r="F7" i="1" s="1"/>
  <c r="C8" i="1"/>
  <c r="F8" i="1" s="1"/>
  <c r="C9" i="1"/>
  <c r="F9" i="1" s="1"/>
  <c r="C10" i="1"/>
  <c r="F10" i="1" s="1"/>
  <c r="C11" i="1"/>
  <c r="F11" i="1" s="1"/>
  <c r="C12" i="1"/>
  <c r="F12" i="1" s="1"/>
  <c r="C13" i="1"/>
  <c r="F13" i="1" s="1"/>
  <c r="C14" i="1"/>
  <c r="F14" i="1" s="1"/>
  <c r="C15" i="1"/>
  <c r="F15" i="1" s="1"/>
  <c r="C16" i="1"/>
  <c r="F16" i="1" s="1"/>
  <c r="C17" i="1"/>
  <c r="F17" i="1" s="1"/>
  <c r="C18" i="1"/>
  <c r="F18" i="1" s="1"/>
  <c r="C19" i="1"/>
  <c r="F19" i="1" s="1"/>
  <c r="C20" i="1"/>
  <c r="F20" i="1" s="1"/>
  <c r="C21" i="1"/>
  <c r="F21" i="1" s="1"/>
  <c r="C22" i="1"/>
  <c r="F22" i="1" s="1"/>
  <c r="C23" i="1"/>
  <c r="F23" i="1" s="1"/>
  <c r="C24" i="1"/>
  <c r="F24" i="1" s="1"/>
  <c r="C25" i="1"/>
  <c r="F25" i="1" s="1"/>
  <c r="C26" i="1"/>
  <c r="F26" i="1" s="1"/>
  <c r="C27" i="1"/>
  <c r="F27" i="1" s="1"/>
  <c r="C28" i="1"/>
  <c r="F28" i="1" s="1"/>
  <c r="C29" i="1"/>
  <c r="F29" i="1" s="1"/>
  <c r="C30" i="1"/>
  <c r="F30" i="1" s="1"/>
  <c r="C31" i="1"/>
  <c r="F31" i="1" s="1"/>
  <c r="C32" i="1"/>
  <c r="F32" i="1" s="1"/>
  <c r="C33" i="1"/>
  <c r="F33" i="1" s="1"/>
  <c r="C34" i="1"/>
  <c r="F34" i="1" s="1"/>
  <c r="C35" i="1"/>
  <c r="F35" i="1" s="1"/>
  <c r="C36" i="1"/>
  <c r="F36" i="1" s="1"/>
  <c r="C37" i="1"/>
  <c r="F37" i="1" s="1"/>
  <c r="C38" i="1"/>
  <c r="F38" i="1" s="1"/>
  <c r="C39" i="1"/>
  <c r="F39" i="1" s="1"/>
  <c r="C40" i="1"/>
  <c r="F40" i="1" s="1"/>
  <c r="C41" i="1"/>
  <c r="F41" i="1" s="1"/>
  <c r="C42" i="1"/>
  <c r="F42" i="1" s="1"/>
  <c r="C43" i="1"/>
  <c r="F43" i="1" s="1"/>
  <c r="C44" i="1"/>
  <c r="F44" i="1" s="1"/>
  <c r="C45" i="1"/>
  <c r="F45" i="1" s="1"/>
  <c r="C46" i="1"/>
  <c r="F46" i="1" s="1"/>
  <c r="C47" i="1"/>
  <c r="F47" i="1" s="1"/>
  <c r="C48" i="1"/>
  <c r="F48" i="1" s="1"/>
  <c r="C49" i="1"/>
  <c r="F49" i="1" s="1"/>
  <c r="C50" i="1"/>
  <c r="F50" i="1" s="1"/>
  <c r="C51" i="1"/>
  <c r="F51" i="1" s="1"/>
  <c r="C52" i="1"/>
  <c r="F52" i="1" s="1"/>
  <c r="C53" i="1"/>
  <c r="F53" i="1" s="1"/>
  <c r="C54" i="1"/>
  <c r="F54" i="1" s="1"/>
  <c r="C55" i="1"/>
  <c r="F55" i="1" s="1"/>
  <c r="C56" i="1"/>
  <c r="F56" i="1" s="1"/>
  <c r="C57" i="1"/>
  <c r="F57" i="1" s="1"/>
  <c r="C58" i="1"/>
  <c r="F58" i="1" s="1"/>
  <c r="C59" i="1"/>
  <c r="F59" i="1" s="1"/>
  <c r="C60" i="1"/>
  <c r="F60" i="1" s="1"/>
  <c r="C61" i="1"/>
  <c r="F61" i="1" s="1"/>
  <c r="C62" i="1"/>
  <c r="F62" i="1" s="1"/>
  <c r="C63" i="1"/>
  <c r="F63" i="1" s="1"/>
  <c r="C64" i="1"/>
  <c r="F64" i="1" s="1"/>
  <c r="C65" i="1"/>
  <c r="F65" i="1" s="1"/>
  <c r="C66" i="1"/>
  <c r="F66" i="1" s="1"/>
  <c r="C67" i="1"/>
  <c r="F67" i="1" s="1"/>
  <c r="C68" i="1"/>
  <c r="F68" i="1" s="1"/>
  <c r="C69" i="1"/>
  <c r="F69" i="1" s="1"/>
  <c r="C70" i="1"/>
  <c r="F70" i="1" s="1"/>
  <c r="C71" i="1"/>
  <c r="F71" i="1" s="1"/>
  <c r="C72" i="1"/>
  <c r="F72" i="1" s="1"/>
  <c r="C73" i="1"/>
  <c r="F73" i="1" s="1"/>
  <c r="C74" i="1"/>
  <c r="F74" i="1" s="1"/>
  <c r="C75" i="1"/>
  <c r="F75" i="1" s="1"/>
  <c r="C76" i="1"/>
  <c r="F76" i="1" s="1"/>
  <c r="C77" i="1"/>
  <c r="F77" i="1" s="1"/>
  <c r="C78" i="1"/>
  <c r="F78" i="1" s="1"/>
  <c r="C79" i="1"/>
  <c r="F79" i="1" s="1"/>
  <c r="C80" i="1"/>
  <c r="F80" i="1" s="1"/>
  <c r="C81" i="1"/>
  <c r="F81" i="1" s="1"/>
  <c r="C82" i="1"/>
  <c r="F82" i="1" s="1"/>
  <c r="C83" i="1"/>
  <c r="F83" i="1" s="1"/>
  <c r="C84" i="1"/>
  <c r="F84" i="1" s="1"/>
  <c r="C85" i="1"/>
  <c r="F85" i="1" s="1"/>
  <c r="C86" i="1"/>
  <c r="F86" i="1" s="1"/>
  <c r="C87" i="1"/>
  <c r="F87" i="1" s="1"/>
  <c r="C88" i="1"/>
  <c r="F88" i="1" s="1"/>
  <c r="C89" i="1"/>
  <c r="F89" i="1" s="1"/>
  <c r="C90" i="1"/>
  <c r="F90" i="1" s="1"/>
  <c r="C91" i="1"/>
  <c r="F91" i="1" s="1"/>
  <c r="C92" i="1"/>
  <c r="F92" i="1" s="1"/>
  <c r="C93" i="1"/>
  <c r="F93" i="1" s="1"/>
  <c r="C94" i="1"/>
  <c r="F94" i="1" s="1"/>
  <c r="C95" i="1"/>
  <c r="F95" i="1" s="1"/>
  <c r="C96" i="1"/>
  <c r="F96" i="1" s="1"/>
  <c r="C97" i="1"/>
  <c r="F97" i="1" s="1"/>
  <c r="C98" i="1"/>
  <c r="F98" i="1" s="1"/>
  <c r="C99" i="1"/>
  <c r="F99" i="1" s="1"/>
  <c r="C100" i="1"/>
  <c r="F100" i="1" s="1"/>
  <c r="C101" i="1"/>
  <c r="F101" i="1" s="1"/>
  <c r="C102" i="1"/>
  <c r="F102" i="1" s="1"/>
  <c r="C103" i="1"/>
  <c r="F103" i="1" s="1"/>
  <c r="C104" i="1"/>
  <c r="F104" i="1" s="1"/>
  <c r="C105" i="1"/>
  <c r="F105" i="1" s="1"/>
  <c r="C106" i="1"/>
  <c r="F106" i="1" s="1"/>
  <c r="C107" i="1"/>
  <c r="F107" i="1" s="1"/>
  <c r="C108" i="1"/>
  <c r="F108" i="1" s="1"/>
  <c r="C109" i="1"/>
  <c r="F109" i="1" s="1"/>
  <c r="C110" i="1"/>
  <c r="F110" i="1" s="1"/>
  <c r="C111" i="1"/>
  <c r="F111" i="1" s="1"/>
  <c r="C112" i="1"/>
  <c r="F112" i="1" s="1"/>
  <c r="C113" i="1"/>
  <c r="F113" i="1" s="1"/>
  <c r="C114" i="1"/>
  <c r="F114" i="1" s="1"/>
  <c r="C115" i="1"/>
  <c r="F115" i="1" s="1"/>
  <c r="C116" i="1"/>
  <c r="F116" i="1" s="1"/>
  <c r="C117" i="1"/>
  <c r="F117" i="1" s="1"/>
  <c r="C118" i="1"/>
  <c r="F118" i="1" s="1"/>
  <c r="C119" i="1"/>
  <c r="F119" i="1" s="1"/>
  <c r="C120" i="1"/>
  <c r="F120" i="1" s="1"/>
  <c r="C121" i="1"/>
  <c r="F121" i="1" s="1"/>
  <c r="C122" i="1"/>
  <c r="F122" i="1" s="1"/>
  <c r="C123" i="1"/>
  <c r="F123" i="1" s="1"/>
  <c r="C124" i="1"/>
  <c r="F124" i="1" s="1"/>
  <c r="C125" i="1"/>
  <c r="F125" i="1" s="1"/>
  <c r="C126" i="1"/>
  <c r="F126" i="1" s="1"/>
  <c r="C127" i="1"/>
  <c r="F127" i="1" s="1"/>
  <c r="C128" i="1"/>
  <c r="F128" i="1" s="1"/>
  <c r="C129" i="1"/>
  <c r="F129" i="1" s="1"/>
  <c r="C130" i="1"/>
  <c r="F130" i="1" s="1"/>
  <c r="C131" i="1"/>
  <c r="F131" i="1" s="1"/>
  <c r="C132" i="1"/>
  <c r="F132" i="1" s="1"/>
  <c r="C133" i="1"/>
  <c r="F133" i="1" s="1"/>
  <c r="C134" i="1"/>
  <c r="F134" i="1" s="1"/>
  <c r="C135" i="1"/>
  <c r="F135" i="1" s="1"/>
  <c r="C136" i="1"/>
  <c r="F136" i="1" s="1"/>
  <c r="C137" i="1"/>
  <c r="F137" i="1" s="1"/>
  <c r="C138" i="1"/>
  <c r="F138" i="1" s="1"/>
  <c r="C139" i="1"/>
  <c r="F139" i="1" s="1"/>
  <c r="C140" i="1"/>
  <c r="F140" i="1" s="1"/>
  <c r="C141" i="1"/>
  <c r="F141" i="1" s="1"/>
  <c r="C142" i="1"/>
  <c r="F142" i="1" s="1"/>
  <c r="C143" i="1"/>
  <c r="F143" i="1" s="1"/>
  <c r="C144" i="1"/>
  <c r="F144" i="1" s="1"/>
  <c r="C145" i="1"/>
  <c r="F145" i="1" s="1"/>
  <c r="C146" i="1"/>
  <c r="F146" i="1" s="1"/>
  <c r="C147" i="1"/>
  <c r="F147" i="1" s="1"/>
  <c r="C148" i="1"/>
  <c r="F148" i="1" s="1"/>
  <c r="C149" i="1"/>
  <c r="F149" i="1" s="1"/>
  <c r="C150" i="1"/>
  <c r="F150" i="1" s="1"/>
  <c r="C151" i="1"/>
  <c r="F151" i="1" s="1"/>
  <c r="C152" i="1"/>
  <c r="F152" i="1" s="1"/>
  <c r="C153" i="1"/>
  <c r="F153" i="1" s="1"/>
  <c r="C154" i="1"/>
  <c r="F154" i="1" s="1"/>
  <c r="C155" i="1"/>
  <c r="F155" i="1" s="1"/>
  <c r="C156" i="1"/>
  <c r="F156" i="1" s="1"/>
  <c r="C157" i="1"/>
  <c r="F157" i="1" s="1"/>
  <c r="C158" i="1"/>
  <c r="F158" i="1" s="1"/>
  <c r="C159" i="1"/>
  <c r="F159" i="1" s="1"/>
  <c r="C160" i="1"/>
  <c r="F160" i="1" s="1"/>
  <c r="C161" i="1"/>
  <c r="F161" i="1" s="1"/>
  <c r="C162" i="1"/>
  <c r="F162" i="1" s="1"/>
  <c r="C163" i="1"/>
  <c r="F163" i="1" s="1"/>
  <c r="C164" i="1"/>
  <c r="F164" i="1" s="1"/>
  <c r="C165" i="1"/>
  <c r="F165" i="1" s="1"/>
  <c r="C166" i="1"/>
  <c r="F166" i="1" s="1"/>
  <c r="C167" i="1"/>
  <c r="F167" i="1" s="1"/>
  <c r="C168" i="1"/>
  <c r="F168" i="1" s="1"/>
  <c r="C169" i="1"/>
  <c r="F169" i="1" s="1"/>
  <c r="C170" i="1"/>
  <c r="F170" i="1" s="1"/>
  <c r="C171" i="1"/>
  <c r="F171" i="1" s="1"/>
  <c r="C172" i="1"/>
  <c r="F172" i="1" s="1"/>
  <c r="C173" i="1"/>
  <c r="F173" i="1" s="1"/>
  <c r="C174" i="1"/>
  <c r="F174" i="1" s="1"/>
  <c r="C175" i="1"/>
  <c r="F175" i="1" s="1"/>
  <c r="C176" i="1"/>
  <c r="F176" i="1" s="1"/>
  <c r="C177" i="1"/>
  <c r="F177" i="1" s="1"/>
  <c r="C178" i="1"/>
  <c r="F178" i="1" s="1"/>
  <c r="C179" i="1"/>
  <c r="F179" i="1" s="1"/>
  <c r="C180" i="1"/>
  <c r="F180" i="1" s="1"/>
  <c r="C181" i="1"/>
  <c r="F181" i="1" s="1"/>
  <c r="C182" i="1"/>
  <c r="F182" i="1" s="1"/>
  <c r="C183" i="1"/>
  <c r="F183" i="1" s="1"/>
  <c r="C184" i="1"/>
  <c r="F184" i="1" s="1"/>
  <c r="C185" i="1"/>
  <c r="F185" i="1" s="1"/>
  <c r="C186" i="1"/>
  <c r="F186" i="1" s="1"/>
  <c r="C187" i="1"/>
  <c r="F187" i="1" s="1"/>
  <c r="C188" i="1"/>
  <c r="F188" i="1" s="1"/>
  <c r="C189" i="1"/>
  <c r="F189" i="1" s="1"/>
  <c r="C190" i="1"/>
  <c r="F190" i="1" s="1"/>
  <c r="C191" i="1"/>
  <c r="F191" i="1" s="1"/>
  <c r="C192" i="1"/>
  <c r="F192" i="1" s="1"/>
  <c r="C193" i="1"/>
  <c r="F193" i="1" s="1"/>
  <c r="C194" i="1"/>
  <c r="F194" i="1" s="1"/>
  <c r="C195" i="1"/>
  <c r="F195" i="1" s="1"/>
  <c r="C196" i="1"/>
  <c r="F196" i="1" s="1"/>
  <c r="C197" i="1"/>
  <c r="F197" i="1" s="1"/>
  <c r="C198" i="1"/>
  <c r="F198" i="1" s="1"/>
  <c r="C199" i="1"/>
  <c r="F199" i="1" s="1"/>
  <c r="C200" i="1"/>
  <c r="F200" i="1" s="1"/>
  <c r="C201" i="1"/>
  <c r="F201" i="1" s="1"/>
  <c r="C202" i="1"/>
  <c r="F202" i="1" s="1"/>
  <c r="C203" i="1"/>
  <c r="F203" i="1" s="1"/>
  <c r="C204" i="1"/>
  <c r="F204" i="1" s="1"/>
  <c r="C205" i="1"/>
  <c r="F205" i="1" s="1"/>
  <c r="C206" i="1"/>
  <c r="F206" i="1" s="1"/>
  <c r="C2" i="1"/>
  <c r="F2" i="1" s="1"/>
  <c r="E12" i="1" l="1"/>
  <c r="E201" i="1"/>
  <c r="E193" i="1"/>
  <c r="E185" i="1"/>
  <c r="E177" i="1"/>
  <c r="E169" i="1"/>
  <c r="E161" i="1"/>
  <c r="E153" i="1"/>
  <c r="E145" i="1"/>
  <c r="E137" i="1"/>
  <c r="E129" i="1"/>
  <c r="E121" i="1"/>
  <c r="E113" i="1"/>
  <c r="E105" i="1"/>
  <c r="E97" i="1"/>
  <c r="E89" i="1"/>
  <c r="E81" i="1"/>
  <c r="E73" i="1"/>
  <c r="E65" i="1"/>
  <c r="E57" i="1"/>
  <c r="E49" i="1"/>
  <c r="E4" i="1"/>
  <c r="E200" i="1"/>
  <c r="E192" i="1"/>
  <c r="E184" i="1"/>
  <c r="E176" i="1"/>
  <c r="E168" i="1"/>
  <c r="E160" i="1"/>
  <c r="E152" i="1"/>
  <c r="E144" i="1"/>
  <c r="E136" i="1"/>
  <c r="E128" i="1"/>
  <c r="E120" i="1"/>
  <c r="E112" i="1"/>
  <c r="E104" i="1"/>
  <c r="E96" i="1"/>
  <c r="E88" i="1"/>
  <c r="E80" i="1"/>
  <c r="E72" i="1"/>
  <c r="E64" i="1"/>
  <c r="E56" i="1"/>
  <c r="E48" i="1"/>
  <c r="E3" i="1"/>
  <c r="E2" i="1"/>
  <c r="E199" i="1"/>
  <c r="E191" i="1"/>
  <c r="E183" i="1"/>
  <c r="E175" i="1"/>
  <c r="E167" i="1"/>
  <c r="E159" i="1"/>
  <c r="E151" i="1"/>
  <c r="E143" i="1"/>
  <c r="E135" i="1"/>
  <c r="E127" i="1"/>
  <c r="E119" i="1"/>
  <c r="E111" i="1"/>
  <c r="E103" i="1"/>
  <c r="E95" i="1"/>
  <c r="E87" i="1"/>
  <c r="E79" i="1"/>
  <c r="E71" i="1"/>
  <c r="E63" i="1"/>
  <c r="E55" i="1"/>
  <c r="E47" i="1"/>
  <c r="E39" i="1"/>
  <c r="E31" i="1"/>
  <c r="E23" i="1"/>
  <c r="E15" i="1"/>
  <c r="E7" i="1"/>
  <c r="E206" i="1"/>
  <c r="E198" i="1"/>
  <c r="E190" i="1"/>
  <c r="E182" i="1"/>
  <c r="E174" i="1"/>
  <c r="E166" i="1"/>
  <c r="E158" i="1"/>
  <c r="E150" i="1"/>
  <c r="E142" i="1"/>
  <c r="E134" i="1"/>
  <c r="E126" i="1"/>
  <c r="E118" i="1"/>
  <c r="E110" i="1"/>
  <c r="E102" i="1"/>
  <c r="E94" i="1"/>
  <c r="E86" i="1"/>
  <c r="E78" i="1"/>
  <c r="E70" i="1"/>
  <c r="E62" i="1"/>
  <c r="E54" i="1"/>
  <c r="E46" i="1"/>
  <c r="E38" i="1"/>
  <c r="E30" i="1"/>
  <c r="E22" i="1"/>
  <c r="E14" i="1"/>
  <c r="E6" i="1"/>
  <c r="E205" i="1"/>
  <c r="E197" i="1"/>
  <c r="E189" i="1"/>
  <c r="E181" i="1"/>
  <c r="E173" i="1"/>
  <c r="E165" i="1"/>
  <c r="E157" i="1"/>
  <c r="E149" i="1"/>
  <c r="E141" i="1"/>
  <c r="E133" i="1"/>
  <c r="E125" i="1"/>
  <c r="E117" i="1"/>
  <c r="E109" i="1"/>
  <c r="E101" i="1"/>
  <c r="E93" i="1"/>
  <c r="E85" i="1"/>
  <c r="E77" i="1"/>
  <c r="E69" i="1"/>
  <c r="E61" i="1"/>
  <c r="E53" i="1"/>
  <c r="E45" i="1"/>
  <c r="E37" i="1"/>
  <c r="E29" i="1"/>
  <c r="E21" i="1"/>
  <c r="E13" i="1"/>
  <c r="E5" i="1"/>
  <c r="E202" i="1"/>
  <c r="E194" i="1"/>
  <c r="E186" i="1"/>
  <c r="E178" i="1"/>
  <c r="E170" i="1"/>
  <c r="E162" i="1"/>
  <c r="E154" i="1"/>
  <c r="E146" i="1"/>
  <c r="E138" i="1"/>
  <c r="E130" i="1"/>
  <c r="E122" i="1"/>
  <c r="E114" i="1"/>
  <c r="E106" i="1"/>
  <c r="E98" i="1"/>
  <c r="E90" i="1"/>
  <c r="E82" i="1"/>
  <c r="E74" i="1"/>
  <c r="E66" i="1"/>
  <c r="E58" i="1"/>
  <c r="E50" i="1"/>
  <c r="E204" i="1"/>
  <c r="E196" i="1"/>
  <c r="E188" i="1"/>
  <c r="E180" i="1"/>
  <c r="E172" i="1"/>
  <c r="E164" i="1"/>
  <c r="E156" i="1"/>
  <c r="E148" i="1"/>
  <c r="E140" i="1"/>
  <c r="E132" i="1"/>
  <c r="E124" i="1"/>
  <c r="E116" i="1"/>
  <c r="E108" i="1"/>
  <c r="E100" i="1"/>
  <c r="E92" i="1"/>
  <c r="E84" i="1"/>
  <c r="E76" i="1"/>
  <c r="E68" i="1"/>
  <c r="E60" i="1"/>
  <c r="E52" i="1"/>
  <c r="E44" i="1"/>
  <c r="E36" i="1"/>
  <c r="E28" i="1"/>
  <c r="E20" i="1"/>
  <c r="E203" i="1"/>
  <c r="E195" i="1"/>
  <c r="E187" i="1"/>
  <c r="E179" i="1"/>
  <c r="E171" i="1"/>
  <c r="E163" i="1"/>
  <c r="E155" i="1"/>
  <c r="E147" i="1"/>
  <c r="E139" i="1"/>
  <c r="E131" i="1"/>
  <c r="E123" i="1"/>
  <c r="E115" i="1"/>
  <c r="E107" i="1"/>
  <c r="E99" i="1"/>
  <c r="E91" i="1"/>
  <c r="E83" i="1"/>
  <c r="E75" i="1"/>
  <c r="E67" i="1"/>
  <c r="E59" i="1"/>
  <c r="E51" i="1"/>
  <c r="E43" i="1"/>
  <c r="E35" i="1"/>
  <c r="E27" i="1"/>
  <c r="E19" i="1"/>
  <c r="E11" i="1"/>
  <c r="E42" i="1"/>
  <c r="E34" i="1"/>
  <c r="E26" i="1"/>
  <c r="E18" i="1"/>
  <c r="E10" i="1"/>
  <c r="E41" i="1"/>
  <c r="E33" i="1"/>
  <c r="E25" i="1"/>
  <c r="E17" i="1"/>
  <c r="E9" i="1"/>
  <c r="E40" i="1"/>
  <c r="E32" i="1"/>
  <c r="E24" i="1"/>
  <c r="E16" i="1"/>
  <c r="E8" i="1"/>
</calcChain>
</file>

<file path=xl/sharedStrings.xml><?xml version="1.0" encoding="utf-8"?>
<sst xmlns="http://schemas.openxmlformats.org/spreadsheetml/2006/main" count="264" uniqueCount="264">
  <si>
    <t>#</t>
  </si>
  <si>
    <t>Nome do Professor</t>
  </si>
  <si>
    <t>ADRIANA MOCELIM</t>
  </si>
  <si>
    <t>ADRIANO AKIRA FERREIRA HINO</t>
  </si>
  <si>
    <t>AFONSO FERREIRA MIGUEL</t>
  </si>
  <si>
    <t>AIRTON OLIVEIRA SILVA TRENTO</t>
  </si>
  <si>
    <t>ALCEU DE SOUZA BRITTO JUNIOR</t>
  </si>
  <si>
    <t>ALEXANDRA FERREIRA MARTINS RIBEIRO</t>
  </si>
  <si>
    <t>ALEXANDRE LUIS MULLER</t>
  </si>
  <si>
    <t>ALINE VANELI PELIZZONI</t>
  </si>
  <si>
    <t>ALTAIR OLIVO SANTIN</t>
  </si>
  <si>
    <t>ANA LUCIA TOLAZZI</t>
  </si>
  <si>
    <t>ANDRE GOBETTE SANTANA</t>
  </si>
  <si>
    <t>ANDRE GUSTAVO HOCHULI</t>
  </si>
  <si>
    <t>ANDRE ROGERIO BERTO</t>
  </si>
  <si>
    <t>ANDREIA CRISTINA CERATO</t>
  </si>
  <si>
    <t>ANDREIA RIBEIRO DA LUZ</t>
  </si>
  <si>
    <t>ANDREZA DE SOUSA VIEIRA</t>
  </si>
  <si>
    <t>ANGELA CRISTINA CARARO</t>
  </si>
  <si>
    <t>ANNA HERMINIA CASTRO GOMES DE AMORIM</t>
  </si>
  <si>
    <t>ANTONIO CARLOS MERCER</t>
  </si>
  <si>
    <t>ARIANA MOURA GOMES</t>
  </si>
  <si>
    <t>ARTUR DE FRANCA MITTELBACH</t>
  </si>
  <si>
    <t>BARBARA RAQUEL DO PRADO GIMENEZ CORREA</t>
  </si>
  <si>
    <t>BEATRIZ POLIDORI ZECHLINSKI</t>
  </si>
  <si>
    <t>BRENDA GISELLE SANCHEZ LEYTON</t>
  </si>
  <si>
    <t>BRUNA MARIA DE SOUZA</t>
  </si>
  <si>
    <t>BRUNA MARTINS DZIVIELEVSKI DA CAMARA</t>
  </si>
  <si>
    <t>BRUNO RAPHAEL DA CUNHA DOBICZ</t>
  </si>
  <si>
    <t>BRUNO SPADONI</t>
  </si>
  <si>
    <t>CAIO AUGUSTO CAMARGO DA SILVA</t>
  </si>
  <si>
    <t>CAIO HENRIQUE DE OLIVEIRA CARNIATTO</t>
  </si>
  <si>
    <t>CAMILA HARTMANN</t>
  </si>
  <si>
    <t>CARLA FREITAS SILVEIRA NETTO</t>
  </si>
  <si>
    <t>CARLOS EDUARDO LUNELLI</t>
  </si>
  <si>
    <t>CARLOS FREDERICO OLDENBURG NETO</t>
  </si>
  <si>
    <t>CAROLINA ZAGHI CAVALCANTE HENDGES</t>
  </si>
  <si>
    <t>CESAR AUGUSTO KUZMA</t>
  </si>
  <si>
    <t>CINTIA CRISTINA SARNOVSKI</t>
  </si>
  <si>
    <t>CLAUDIO MARLUS SKORA</t>
  </si>
  <si>
    <t>CLAYTON SANTOS DO COUTO</t>
  </si>
  <si>
    <t>CLEBER KIEL OLIVO</t>
  </si>
  <si>
    <t>DALTON VINICIUS KOZAK</t>
  </si>
  <si>
    <t>DANIEL EMILIO DALLEDONE SIQUEIRA</t>
  </si>
  <si>
    <t>DANIELE ROSEVICS OLIVEIRA</t>
  </si>
  <si>
    <t>DEBORA PATRICIA NEMER PINHEIRO</t>
  </si>
  <si>
    <t>DEBORAH IURI TAZIMA</t>
  </si>
  <si>
    <t>DENISE CAMARANI REVELK</t>
  </si>
  <si>
    <t>DEOCLECIO JUNIOR CARDOSO DA SILVA</t>
  </si>
  <si>
    <t>EDISOM PAULA BRUM</t>
  </si>
  <si>
    <t>EDSON EMILIO SCALABRIN</t>
  </si>
  <si>
    <t>EDUARDO DE FREITAS ROCHA LOURES</t>
  </si>
  <si>
    <t>EDUARDO LOPES MARTINS</t>
  </si>
  <si>
    <t>EDUARDO RIBEIRO DA FONSECA</t>
  </si>
  <si>
    <t>ELIANE CRISTINE FRANCISCO MAFFEZZOLLI</t>
  </si>
  <si>
    <t>ELISANGELA FERRETTI MANFFRA</t>
  </si>
  <si>
    <t>ELIZABETH RIBEIRO MARTINS</t>
  </si>
  <si>
    <t>EMERSON MARTIM</t>
  </si>
  <si>
    <t>ERICA REGINA TAKANO NATTI</t>
  </si>
  <si>
    <t>ERIKA HOYAMA</t>
  </si>
  <si>
    <t>ERIKA OKUNO</t>
  </si>
  <si>
    <t>ETIANE CALOY BOVKALOVSKI</t>
  </si>
  <si>
    <t>EVERSON LUIZ OLIVEIRA MOTTA</t>
  </si>
  <si>
    <t>EWERTON DE SA KAVISKI</t>
  </si>
  <si>
    <t>FABIO HENRIQUE FELTRIN</t>
  </si>
  <si>
    <t>FELICIO ARAGAO SAVIOLI</t>
  </si>
  <si>
    <t>FERNANDA CORREA PAVESI LARA</t>
  </si>
  <si>
    <t>FERNANDA CRISTINA OSTROVSKI SALES</t>
  </si>
  <si>
    <t>FERNANDA MEDEIROS ASSEF</t>
  </si>
  <si>
    <t>FERNANDA RAQUEL THOMAZ DE ARAUJO</t>
  </si>
  <si>
    <t>FLAVIA COSTA PREVEDELLO</t>
  </si>
  <si>
    <t>FLAVIA MARIA DE PAULA SOARES</t>
  </si>
  <si>
    <t>FLAVIA OBARA KAI</t>
  </si>
  <si>
    <t>FLAVIO HEUTA IVANO</t>
  </si>
  <si>
    <t>FLAVIO LUIZ VON DER OSTEN</t>
  </si>
  <si>
    <t>GIBRAN AVELINO FRANDOLOSO</t>
  </si>
  <si>
    <t>GLAUCIO HENRIQUE MATSUSHITA MORO</t>
  </si>
  <si>
    <t>GUILHERME BARRETO GAMEIRO SILVA</t>
  </si>
  <si>
    <t>GUILHERME BITTENCOURT TEIXEIRA</t>
  </si>
  <si>
    <t>GUILHERME GUBERT MULLER</t>
  </si>
  <si>
    <t>GUSTAVO GAVAZZONI BLUME</t>
  </si>
  <si>
    <t>GUSTAVO GRANDER</t>
  </si>
  <si>
    <t>GUSTAVO LEITE FRANKLIN</t>
  </si>
  <si>
    <t>HELISON BERTOLI ALVES DIAS</t>
  </si>
  <si>
    <t>HENRIQUE DEMENECK</t>
  </si>
  <si>
    <t>HOLISSES BELLON</t>
  </si>
  <si>
    <t>HORACIO ALVARENGA MOREIRA</t>
  </si>
  <si>
    <t>HUDSON PRESTES DOS SANTOS</t>
  </si>
  <si>
    <t>HUGO LEONARDO MARTINS CORREA</t>
  </si>
  <si>
    <t>ISABELA MAYUMI NAKANISHI TAKAKI</t>
  </si>
  <si>
    <t>JAMILE DA COSTA RIECHI</t>
  </si>
  <si>
    <t>JANIO DENIS GABRIEL</t>
  </si>
  <si>
    <t>JEAN RODRIGO TAFAREL</t>
  </si>
  <si>
    <t>JELSON ROBERTO DE OLIVEIRA</t>
  </si>
  <si>
    <t>JHONATAN GEREMIAS</t>
  </si>
  <si>
    <t>JOAO ANTONIO DE FREITAS COELHO</t>
  </si>
  <si>
    <t>JOELTON DEONEI GOTZ</t>
  </si>
  <si>
    <t>JONES LUIS SCHAEFER</t>
  </si>
  <si>
    <t>JOSETH ANTONIA OLIVEIRA JARDIM</t>
  </si>
  <si>
    <t>JULIANA CONCEICAO NOSCHANG DA COSTA</t>
  </si>
  <si>
    <t>JULIANO DE TROTTA</t>
  </si>
  <si>
    <t>JULIANO MUNIK BORA</t>
  </si>
  <si>
    <t>KAREN FERNANDES DE MOURA SAAB</t>
  </si>
  <si>
    <t>KATIA ALESSANDRA PASTORI TERRIN</t>
  </si>
  <si>
    <t>KELLY CHRISTINE LANDOLFI BETTIO</t>
  </si>
  <si>
    <t>KENZO HOKAZONO</t>
  </si>
  <si>
    <t>KLEBER BEZ BIROLO CANDIOTTO</t>
  </si>
  <si>
    <t>LEANDRO TADEU CATAPAM</t>
  </si>
  <si>
    <t>LEONARDO CAVALHEIRO MARTINEZ</t>
  </si>
  <si>
    <t>LEVINO BERTOCHI JUNIOR</t>
  </si>
  <si>
    <t>LIDIA ANA ZYTYNSKI MOURA</t>
  </si>
  <si>
    <t>LUANA KAVA</t>
  </si>
  <si>
    <t>LUIZ FERNANDO PEREIRA</t>
  </si>
  <si>
    <t>LUIZ FERNANDO VELOSO BORBA NAVOLAR</t>
  </si>
  <si>
    <t>LUIZA SVIESK SPRUNG</t>
  </si>
  <si>
    <t>LUKA DAVID LECHINEWSKI</t>
  </si>
  <si>
    <t>MAICRIS FERNANDES</t>
  </si>
  <si>
    <t>MARCELO PILLONETTO</t>
  </si>
  <si>
    <t>MARCIA MARIA ALVES</t>
  </si>
  <si>
    <t>MARCIA OLANDOSKI</t>
  </si>
  <si>
    <t>MARCIA TEREZINHA DE OLIVEIRA</t>
  </si>
  <si>
    <t>MARCIO LUIZ FERNANDES</t>
  </si>
  <si>
    <t>MARCIO SAPORSKI SEGUI</t>
  </si>
  <si>
    <t>MARCO CESAR JORGE DOS SANTOS</t>
  </si>
  <si>
    <t>MARI REGINA ANASTACIO</t>
  </si>
  <si>
    <t>MARIA ALICE WITT</t>
  </si>
  <si>
    <t>MARIA CRISTINA FIGUEROA MAGALHAES</t>
  </si>
  <si>
    <t>MARIA HELENA CAMARGO PERALTA DEL VALLE</t>
  </si>
  <si>
    <t>MARIA ISABEL LOVO MARTINS BUSCH PEREIRA</t>
  </si>
  <si>
    <t>MARIANA COLLETE</t>
  </si>
  <si>
    <t>MARIANA COUTO SIQUEIRA</t>
  </si>
  <si>
    <t>MARION BURGER</t>
  </si>
  <si>
    <t>MARISA INES CORRADI</t>
  </si>
  <si>
    <t>MARISSE COSTA DE QUEIROZ</t>
  </si>
  <si>
    <t>MARK EIRIK SCORTEGAGNA JOSELLI</t>
  </si>
  <si>
    <t>MAUREN ABREU DE SOUZA</t>
  </si>
  <si>
    <t>MAURICIO MONTEMEZZO</t>
  </si>
  <si>
    <t>MAURICIO PERIN NEVES DA SILVA</t>
  </si>
  <si>
    <t>MAURO PELLISSARI</t>
  </si>
  <si>
    <t>MILENE LEIVAS VIEIRA</t>
  </si>
  <si>
    <t>MIRIAN CELIA CASTELLAIN GUEBERT</t>
  </si>
  <si>
    <t>NAIRANA RADTKE CANEPPELE BUSSLER</t>
  </si>
  <si>
    <t>NATALIA CARDOSO WINTER</t>
  </si>
  <si>
    <t>NELISA SITA PIRES PICOLOTTO MARTIM</t>
  </si>
  <si>
    <t>NICOLE CHAGAS LIMA</t>
  </si>
  <si>
    <t>OLIMPIO DE PAULA XAVIER FILHO</t>
  </si>
  <si>
    <t>ORLANDO MOTOHIRO TANAKA</t>
  </si>
  <si>
    <t>OTTO HENRIQUE MARTINS DA SILVA</t>
  </si>
  <si>
    <t>PATRICIA FONSECA FERREIRA FLEURY</t>
  </si>
  <si>
    <t>PATRICIA LONGHI BUSO</t>
  </si>
  <si>
    <t>PATRICIA TENDOLINI OLIVEIRA DE MELO</t>
  </si>
  <si>
    <t>PATRICIA ZAGANIN CAMILO ROSA</t>
  </si>
  <si>
    <t>PAULINA ALEJANDRA SANTANDER PEREZ</t>
  </si>
  <si>
    <t>PAULO ADILSON HERRERA</t>
  </si>
  <si>
    <t>PAULO CESAR PORTO MARTINS</t>
  </si>
  <si>
    <t>PAULO D ASSUMPCAO ZANIOL</t>
  </si>
  <si>
    <t>PAULO HENRIQUE GUILMAN TANIZAWA</t>
  </si>
  <si>
    <t>PAULO HENRIQUE MARAVIESKI BRAMBILLA</t>
  </si>
  <si>
    <t>PAULO HENRIQUE REIS NEGREIROS</t>
  </si>
  <si>
    <t>PEDRO GUILHERME RIBEIRO PICCOLI</t>
  </si>
  <si>
    <t>PRISCILA BEATRIZ DE SOUZA MEDEIROS</t>
  </si>
  <si>
    <t>PRISCILA XIMENES SOUZA DO NASCIMENTO</t>
  </si>
  <si>
    <t>RAFAEL JUNIOR SOARES</t>
  </si>
  <si>
    <t>RAFAEL WEISSHEIMER</t>
  </si>
  <si>
    <t>RAPHAEL DONADIO PITTA</t>
  </si>
  <si>
    <t>RAQUEL MERCEDES MOTTA XAVIER</t>
  </si>
  <si>
    <t>RAQUEL PANKE BITTENCOURT</t>
  </si>
  <si>
    <t>RAQUEL PEREIRA RODRIGUES LEITE</t>
  </si>
  <si>
    <t>REMOM MATHEUS BORTOLOZZI</t>
  </si>
  <si>
    <t>RENAN BATTISTI ARCHER</t>
  </si>
  <si>
    <t>RENAN COLOMBO</t>
  </si>
  <si>
    <t>RENATO SOLEIMAN FRANCO</t>
  </si>
  <si>
    <t>RENE BERGEL</t>
  </si>
  <si>
    <t>RICARDO BERNARDO DA SILVA</t>
  </si>
  <si>
    <t>RICARDO KURESKI</t>
  </si>
  <si>
    <t>RICARDO LUCATTO BAIDA</t>
  </si>
  <si>
    <t>ROBERTO FRANZINI TIBALDEO</t>
  </si>
  <si>
    <t>ROBERTO HIROCHI HERAI</t>
  </si>
  <si>
    <t>RODRIGO DE ANDRADE KERSTEN</t>
  </si>
  <si>
    <t>ROSA LYDIA TEIXEIRA CORREA</t>
  </si>
  <si>
    <t>ROSANI KUCARZ DA CUNHA</t>
  </si>
  <si>
    <t>RUDA RYUITI FURUKITA BAPTISTA</t>
  </si>
  <si>
    <t>SAMARAH PERSZEL DE FREITAS</t>
  </si>
  <si>
    <t>SANDRA CRISTINA BOUFLEUR</t>
  </si>
  <si>
    <t>SAULO VINICIUS DA ROSA</t>
  </si>
  <si>
    <t>SHIMENY MICHELATO YOSHIY</t>
  </si>
  <si>
    <t>SIDNEI RINALDO PRIOLO FILHO</t>
  </si>
  <si>
    <t>SILVANA TASCHEK HASTREITER</t>
  </si>
  <si>
    <t>SUELI ALMEIDA DE OLIVEIRA</t>
  </si>
  <si>
    <t>SUYANNE TOLENTINO DE SOUZA</t>
  </si>
  <si>
    <t>SUZANA VALASKI</t>
  </si>
  <si>
    <t>TAILINE LISBOA</t>
  </si>
  <si>
    <t>TALITA CRISTINA FIDELIS PEREIRA BIAGI</t>
  </si>
  <si>
    <t>TATIANA VON HERTWIG FERNANDES DE OLIVEIRA KUMER</t>
  </si>
  <si>
    <t>THOMAZ JEFFERSON DE LEMOS PESSOA</t>
  </si>
  <si>
    <t>UBALDINO DA ROSA FERREIRA FILHO</t>
  </si>
  <si>
    <t>VALTER KLEIN JUNIOR</t>
  </si>
  <si>
    <t>VANIA APARECIDA TERRA</t>
  </si>
  <si>
    <t>VICENTE ARTUSO</t>
  </si>
  <si>
    <t>VICTOR HENRIQUE ALVES RIBEIRO</t>
  </si>
  <si>
    <t>VICTOR HORACIO DE SOUZA COSTA JUNIOR</t>
  </si>
  <si>
    <t>VINICIUS ANTONIO HIROAKI SATO</t>
  </si>
  <si>
    <t>VINICIUS ORO POPP</t>
  </si>
  <si>
    <t>VITOR LOUREIRO DIAS</t>
  </si>
  <si>
    <t>WALTER BARBOSA BITTAR</t>
  </si>
  <si>
    <t>WILLIAM FRANCO DA SILVA</t>
  </si>
  <si>
    <t>WILLIAN BOSQUETTE ROSA</t>
  </si>
  <si>
    <t>EMAIL PROF</t>
  </si>
  <si>
    <t>EMAIL COORD</t>
  </si>
  <si>
    <t>IGUAL?</t>
  </si>
  <si>
    <t>SE IGUAL, EMAIL DECANO</t>
  </si>
  <si>
    <t>etiane.caloy@pucpr.br</t>
  </si>
  <si>
    <t>ericson.pereira@pucpr.br</t>
  </si>
  <si>
    <t>valter.klein@pucpr.br</t>
  </si>
  <si>
    <t>ronaldo.alves@pucpr.br</t>
  </si>
  <si>
    <t>eduardo.lino@pucpr.br</t>
  </si>
  <si>
    <t>willian.brosa@pucpr.br</t>
  </si>
  <si>
    <t>everdan.carneiro@pucpr.br</t>
  </si>
  <si>
    <t>adriana.valero@pucpr.br</t>
  </si>
  <si>
    <t>cesar.leandro@pucpr.br</t>
  </si>
  <si>
    <t>jackson.bittencourt@pucpr.br</t>
  </si>
  <si>
    <t>regina.fabia@pucpr.br</t>
  </si>
  <si>
    <t>cristian.schmidt@pucpr.br</t>
  </si>
  <si>
    <t>luci.castro@pucpr.br</t>
  </si>
  <si>
    <t>claudio.skora@pucpr.br</t>
  </si>
  <si>
    <t>camila.parana@pucpr.br</t>
  </si>
  <si>
    <t>bruno.paula@pucpr.br</t>
  </si>
  <si>
    <t>daniele.saheb@pucpr.br</t>
  </si>
  <si>
    <t>mr.garcia@pucpr.br</t>
  </si>
  <si>
    <t>camila.giuliani@pucpr.br</t>
  </si>
  <si>
    <t>jose.duran@pucpr.br</t>
  </si>
  <si>
    <t>ricardo.lopes@pucpr.br</t>
  </si>
  <si>
    <t>l.kava@pucpr.br</t>
  </si>
  <si>
    <t>priscila.praxedes@grupomarista.org.br</t>
  </si>
  <si>
    <t>celina.duque@pucpr.br</t>
  </si>
  <si>
    <t>santos.clayton@pucpr.br</t>
  </si>
  <si>
    <t>cleber.kiel@pucpr.br</t>
  </si>
  <si>
    <t>emerson.donaisky@pucpr.br</t>
  </si>
  <si>
    <t>geovani.moretto@pucpr.br</t>
  </si>
  <si>
    <t>ricardo.nabhen@pucpr.br</t>
  </si>
  <si>
    <t>erica.natti@pucpr.br</t>
  </si>
  <si>
    <t>joselia.ribeiro@grupomarista.org.br</t>
  </si>
  <si>
    <t>jeferson.thauny@pucpr.br</t>
  </si>
  <si>
    <t>fernanda.o@pucpr.br</t>
  </si>
  <si>
    <t>gabriela.veiga@pucpr.br</t>
  </si>
  <si>
    <t>leonardo.goncalves@pucpr.br</t>
  </si>
  <si>
    <t>gustavo.grander@pucpr.br</t>
  </si>
  <si>
    <t>francieli.mognon@pucpr.br</t>
  </si>
  <si>
    <t>leonardo.cavalheiro@pucpr.br</t>
  </si>
  <si>
    <t>ana.greca@pucpr.br</t>
  </si>
  <si>
    <t>fabio.binder@pucpr.br</t>
  </si>
  <si>
    <t>andrea.braga@pucpr.br</t>
  </si>
  <si>
    <t>maria.witt@pucpr.br</t>
  </si>
  <si>
    <t>francine.valenga@pucpr.br</t>
  </si>
  <si>
    <t>luana.tonin@pucpr.br</t>
  </si>
  <si>
    <t>patricia.toliveira@pucpr.br</t>
  </si>
  <si>
    <t>paulo.camargo@grupomarista.org.br</t>
  </si>
  <si>
    <t>suyanne.souza@pucpr.br</t>
  </si>
  <si>
    <t>nadina.moreno@pucpr.br</t>
  </si>
  <si>
    <t>marco.paludo@pucpr.br</t>
  </si>
  <si>
    <t>c.candiotto@pucpr.br</t>
  </si>
  <si>
    <t>j.knopfholz@pucpr.br</t>
  </si>
  <si>
    <t>miriam.mazo@pucpr.br</t>
  </si>
  <si>
    <t>susanne.borges@pucpr.br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</si>
</sst>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4%20-%20Comunicados/Envio%20de%20Comunicados/Relat&#243;rio%20-%20Comunica&#231;&#227;o%20TACHs%20Pendentes%20-%20Novo.xlsm" TargetMode="External"/><Relationship Id="rId2" Type="http://schemas.openxmlformats.org/officeDocument/2006/relationships/externalLinkPath" Target="https://pucpredu.sharepoint.com/teams/DiretriosCCPA/Documentos%20Compartilhados/10_Analistas/10.10_Diogo/4%20-%20Comunicados/Envio%20de%20Comunicados/Relat&#243;rio%20-%20Comunica&#231;&#227;o%20TACHs%20Pendentes%20-%20Novo.xlsm" TargetMode="External"/><Relationship Id="rId1" Type="http://schemas.openxmlformats.org/officeDocument/2006/relationships/externalLinkPath" Target="/teams/DiretriosCCPA/Documentos%20Compartilhados/10_Analistas/10.10_Diogo/4%20-%20Comunicados/Envio%20de%20Comunicados/Relat&#243;rio%20-%20Comunica&#231;&#227;o%20TACHs%20Pendentes%20-%20Novo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10%20-%20Bases%20Uteis/Base%20Decanos.xlsx" TargetMode="External"/><Relationship Id="rId2" Type="http://schemas.openxmlformats.org/officeDocument/2006/relationships/externalLinkPath" Target="https://pucpredu.sharepoint.com/teams/DiretriosCCPA/Documentos%20Compartilhados/10_Analistas/10.10_Diogo/10%20-%20Bases%20Uteis/Base%20Decanos.xlsx" TargetMode="External"/><Relationship Id="rId1" Type="http://schemas.openxmlformats.org/officeDocument/2006/relationships/externalLinkPath" Target="/teams/DiretriosCCPA/Documentos%20Compartilhados/10_Analistas/10.10_Diogo/10%20-%20Bases%20Uteis/Base%20Decan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endentes"/>
      <sheetName val="Contrato"/>
      <sheetName val="Aprovadores"/>
    </sheetNames>
    <sheetDataSet>
      <sheetData sheetId="0" refreshError="1">
        <row r="1">
          <cell r="A1" t="str">
            <v>NOME</v>
          </cell>
          <cell r="G1" t="str">
            <v>E-MAIL PROFESSOR</v>
          </cell>
          <cell r="H1" t="str">
            <v>E-MAIL COORDENADOR</v>
          </cell>
        </row>
        <row r="2">
          <cell r="A2" t="str">
            <v>ADRIANA MOCELIM</v>
          </cell>
          <cell r="G2" t="str">
            <v>adriana.mocelim@pucpr.br</v>
          </cell>
          <cell r="H2" t="str">
            <v>etiane.caloy@pucpr.br</v>
          </cell>
        </row>
        <row r="3">
          <cell r="A3" t="str">
            <v>ADRIANO AKIRA FERREIRA HINO</v>
          </cell>
          <cell r="G3" t="str">
            <v>adriano.hino@pucpr.br</v>
          </cell>
          <cell r="H3" t="str">
            <v>ericson.pereira@pucpr.br</v>
          </cell>
        </row>
        <row r="4">
          <cell r="A4" t="str">
            <v>AFONSO FERREIRA MIGUEL</v>
          </cell>
          <cell r="G4" t="str">
            <v>afonso.miguel@pucpr.br</v>
          </cell>
          <cell r="H4" t="str">
            <v>valter.klein@pucpr.br</v>
          </cell>
        </row>
        <row r="5">
          <cell r="A5" t="str">
            <v>AIRTON OLIVEIRA SILVA TRENTO</v>
          </cell>
          <cell r="G5" t="str">
            <v>airton.trento@pucpr.br</v>
          </cell>
          <cell r="H5" t="str">
            <v>ronaldo.alves@pucpr.br</v>
          </cell>
        </row>
        <row r="6">
          <cell r="A6" t="str">
            <v>ALCEU DE SOUZA BRITTO JUNIOR</v>
          </cell>
          <cell r="G6" t="str">
            <v>alceu.junior@pucpr.br</v>
          </cell>
          <cell r="H6" t="str">
            <v>eduardo.lino@pucpr.br</v>
          </cell>
        </row>
        <row r="7">
          <cell r="A7" t="str">
            <v>ALEXANDRA FERREIRA MARTINS RIBEIRO</v>
          </cell>
          <cell r="G7" t="str">
            <v>alexandra.ribeiro@pucpr.br</v>
          </cell>
          <cell r="H7" t="str">
            <v>etiane.caloy@pucpr.br</v>
          </cell>
        </row>
        <row r="8">
          <cell r="A8" t="str">
            <v>ALEXANDRE LUIS MULLER</v>
          </cell>
          <cell r="G8" t="str">
            <v>alexandre.luis@pucpr.br</v>
          </cell>
          <cell r="H8" t="str">
            <v>willian.brosa@pucpr.br</v>
          </cell>
        </row>
        <row r="9">
          <cell r="A9" t="str">
            <v>ALINE VANELI PELIZZONI</v>
          </cell>
          <cell r="G9" t="str">
            <v>vaneli.aline@pucpr.br</v>
          </cell>
          <cell r="H9" t="str">
            <v>ronaldo.alves@pucpr.br</v>
          </cell>
        </row>
        <row r="10">
          <cell r="A10" t="str">
            <v>ALTAIR OLIVO SANTIN</v>
          </cell>
          <cell r="G10" t="str">
            <v>altair.santin@pucpr.br</v>
          </cell>
          <cell r="H10" t="str">
            <v>eduardo.lino@pucpr.br</v>
          </cell>
        </row>
        <row r="11">
          <cell r="A11" t="str">
            <v>ANA LUCIA TOLAZZI</v>
          </cell>
          <cell r="G11" t="str">
            <v>ana.tolazzi@pucpr.br</v>
          </cell>
          <cell r="H11" t="str">
            <v>everdan.carneiro@pucpr.br</v>
          </cell>
        </row>
        <row r="12">
          <cell r="A12" t="str">
            <v>ANDRE GOBETTE SANTANA</v>
          </cell>
          <cell r="G12" t="str">
            <v>andre.gobette@pucpr.br</v>
          </cell>
          <cell r="H12" t="str">
            <v>adriana.valero@pucpr.br</v>
          </cell>
        </row>
        <row r="13">
          <cell r="A13" t="str">
            <v>ANDRE GUSTAVO HOCHULI</v>
          </cell>
          <cell r="G13" t="str">
            <v>gustavo.hochuli@pucpr.br</v>
          </cell>
          <cell r="H13" t="str">
            <v>eduardo.lino@pucpr.br</v>
          </cell>
        </row>
        <row r="14">
          <cell r="A14" t="str">
            <v>ANDRE ROGERIO BERTO</v>
          </cell>
          <cell r="G14" t="str">
            <v>andre.rberto@pucpr.br</v>
          </cell>
          <cell r="H14" t="str">
            <v>adriana.valero@pucpr.br</v>
          </cell>
        </row>
        <row r="15">
          <cell r="A15" t="str">
            <v>ANDREIA CRISTINA CERATO</v>
          </cell>
          <cell r="G15" t="str">
            <v>andreia.serrato@pucpr.br</v>
          </cell>
          <cell r="H15" t="str">
            <v>cesar.leandro@pucpr.br</v>
          </cell>
        </row>
        <row r="16">
          <cell r="A16" t="str">
            <v>ANDREIA RIBEIRO DA LUZ</v>
          </cell>
          <cell r="G16" t="str">
            <v>luz.andreia@pucpr.br</v>
          </cell>
          <cell r="H16" t="str">
            <v>jackson.bittencourt@pucpr.br</v>
          </cell>
        </row>
        <row r="17">
          <cell r="A17" t="str">
            <v>ANDREZA DE SOUSA VIEIRA</v>
          </cell>
          <cell r="G17" t="str">
            <v>andreza.sousa@pucpr.br</v>
          </cell>
          <cell r="H17" t="str">
            <v>regina.fabia@pucpr.br</v>
          </cell>
        </row>
        <row r="18">
          <cell r="A18" t="str">
            <v>ANGELA CRISTINA CARARO</v>
          </cell>
          <cell r="G18" t="str">
            <v>angela.cararo@pucpr.br</v>
          </cell>
          <cell r="H18" t="str">
            <v>cristian.schmidt@pucpr.br</v>
          </cell>
        </row>
        <row r="19">
          <cell r="A19" t="str">
            <v>ANNA HERMINIA CASTRO GOMES DE AMORIM</v>
          </cell>
          <cell r="G19" t="str">
            <v>anna.hamorim@pucpr.br</v>
          </cell>
          <cell r="H19" t="str">
            <v>luci.castro@pucpr.br</v>
          </cell>
        </row>
        <row r="20">
          <cell r="A20" t="str">
            <v>ANTONIO CARLOS MERCER</v>
          </cell>
          <cell r="G20" t="str">
            <v>mercer.antonio@grupomarista.org.br</v>
          </cell>
          <cell r="H20" t="str">
            <v>claudio.skora@pucpr.br</v>
          </cell>
        </row>
        <row r="21">
          <cell r="A21" t="str">
            <v>ARIANA MOURA GOMES</v>
          </cell>
          <cell r="G21" t="str">
            <v>ariana.moura@pucpr.br</v>
          </cell>
          <cell r="H21" t="str">
            <v>camila.parana@pucpr.br</v>
          </cell>
        </row>
        <row r="22">
          <cell r="A22" t="str">
            <v>ARTUR DE FRANCA MITTELBACH</v>
          </cell>
          <cell r="G22" t="str">
            <v>artur.mittelbach@pucpr.br</v>
          </cell>
          <cell r="H22" t="str">
            <v>bruno.paula@pucpr.br</v>
          </cell>
        </row>
        <row r="23">
          <cell r="A23" t="str">
            <v>BARBARA RAQUEL DO PRADO GIMENEZ CORREA</v>
          </cell>
          <cell r="G23" t="str">
            <v>barbara.gimenez@pucpr.br</v>
          </cell>
          <cell r="H23" t="str">
            <v>daniele.saheb@pucpr.br</v>
          </cell>
        </row>
        <row r="24">
          <cell r="A24" t="str">
            <v>BEATRIZ POLIDORI ZECHLINSKI</v>
          </cell>
          <cell r="G24" t="str">
            <v>beatriz.zechlinski@pucpr.br</v>
          </cell>
          <cell r="H24" t="str">
            <v>etiane.caloy@pucpr.br</v>
          </cell>
        </row>
        <row r="25">
          <cell r="A25" t="str">
            <v>BRENDA GISELLE SANCHEZ LEYTON</v>
          </cell>
          <cell r="G25" t="str">
            <v>brenda.giselle@pucpr.br</v>
          </cell>
          <cell r="H25" t="str">
            <v>everdan.carneiro@pucpr.br</v>
          </cell>
        </row>
        <row r="26">
          <cell r="A26" t="str">
            <v>BRUNA MARIA DE SOUZA</v>
          </cell>
          <cell r="G26" t="str">
            <v>bruna.msouza@pucpr.br</v>
          </cell>
          <cell r="H26" t="str">
            <v>mr.garcia@pucpr.br</v>
          </cell>
        </row>
        <row r="27">
          <cell r="A27" t="str">
            <v>BRUNA MARTINS DZIVIELEVSKI DA CAMARA</v>
          </cell>
          <cell r="G27" t="str">
            <v>bruna.dzivielevski@pucpr.br</v>
          </cell>
          <cell r="H27" t="str">
            <v>camila.giuliani@pucpr.br</v>
          </cell>
        </row>
        <row r="28">
          <cell r="A28" t="str">
            <v>BRUNO RAPHAEL DA CUNHA DOBICZ</v>
          </cell>
          <cell r="G28" t="str">
            <v>bruno.rdobicz@pucpr.br</v>
          </cell>
          <cell r="H28" t="str">
            <v>jose.duran@pucpr.br</v>
          </cell>
        </row>
        <row r="29">
          <cell r="A29" t="str">
            <v>BRUNO SPADONI</v>
          </cell>
          <cell r="G29" t="str">
            <v>bruno.spadoni@pucpr.br</v>
          </cell>
          <cell r="H29" t="str">
            <v>camila.giuliani@pucpr.br</v>
          </cell>
        </row>
        <row r="30">
          <cell r="A30" t="str">
            <v>CAIO AUGUSTO CAMARGO DA SILVA</v>
          </cell>
          <cell r="G30" t="str">
            <v>augusto.caio@pucpr.br</v>
          </cell>
          <cell r="H30" t="str">
            <v>claudio.skora@pucpr.br</v>
          </cell>
        </row>
        <row r="31">
          <cell r="A31" t="str">
            <v>CAIO HENRIQUE DE OLIVEIRA CARNIATTO</v>
          </cell>
          <cell r="G31" t="str">
            <v>caio.carniatto@pucpr.br</v>
          </cell>
          <cell r="H31" t="str">
            <v>ricardo.lopes@pucpr.br</v>
          </cell>
        </row>
        <row r="32">
          <cell r="A32" t="str">
            <v>CAMILA HARTMANN</v>
          </cell>
          <cell r="G32" t="str">
            <v>camila.hartmann@pucpr.br</v>
          </cell>
          <cell r="H32" t="str">
            <v>camila.giuliani@pucpr.br</v>
          </cell>
        </row>
        <row r="33">
          <cell r="A33" t="str">
            <v>CARLA FREITAS SILVEIRA NETTO</v>
          </cell>
          <cell r="G33" t="str">
            <v>carla.netto@pucpr.br</v>
          </cell>
          <cell r="H33" t="str">
            <v>l.kava@pucpr.br</v>
          </cell>
        </row>
        <row r="34">
          <cell r="A34" t="str">
            <v>CARLOS EDUARDO LUNELLI</v>
          </cell>
          <cell r="G34" t="str">
            <v>carlos.lunelli@pucpr.br</v>
          </cell>
          <cell r="H34" t="str">
            <v>priscila.praxedes@grupomarista.org.br</v>
          </cell>
        </row>
        <row r="35">
          <cell r="A35" t="str">
            <v>CARLOS FREDERICO OLDENBURG NETO</v>
          </cell>
          <cell r="G35" t="str">
            <v>frederico.oldenburg@pucpr.br</v>
          </cell>
          <cell r="H35" t="str">
            <v>camila.giuliani@pucpr.br</v>
          </cell>
        </row>
        <row r="36">
          <cell r="A36" t="str">
            <v>CAROLINA ZAGHI CAVALCANTE HENDGES</v>
          </cell>
          <cell r="G36" t="str">
            <v>carolina.cavalcante@pucpr.br</v>
          </cell>
          <cell r="H36" t="str">
            <v>celina.duque@pucpr.br</v>
          </cell>
        </row>
        <row r="37">
          <cell r="A37" t="str">
            <v>CESAR AUGUSTO KUZMA</v>
          </cell>
          <cell r="G37" t="str">
            <v>cesar.akuzma@pucpr.br</v>
          </cell>
          <cell r="H37" t="str">
            <v>cesar.leandro@pucpr.br</v>
          </cell>
        </row>
        <row r="38">
          <cell r="A38" t="str">
            <v>CINTIA CRISTINA SARNOVSKI</v>
          </cell>
          <cell r="G38" t="str">
            <v>cristina.cintia@pucpr.br</v>
          </cell>
          <cell r="H38" t="str">
            <v>l.kava@pucpr.br</v>
          </cell>
        </row>
        <row r="39">
          <cell r="A39" t="str">
            <v>CLAUDIO MARLUS SKORA</v>
          </cell>
          <cell r="G39" t="str">
            <v>claudio.skora@pucpr.br</v>
          </cell>
          <cell r="H39" t="str">
            <v>claudio.skora@pucpr.br</v>
          </cell>
        </row>
        <row r="40">
          <cell r="A40" t="str">
            <v>CLAYTON SANTOS DO COUTO</v>
          </cell>
          <cell r="G40" t="str">
            <v>santos.clayton@pucpr.br</v>
          </cell>
          <cell r="H40" t="str">
            <v>santos.clayton@pucpr.br</v>
          </cell>
        </row>
        <row r="41">
          <cell r="A41" t="str">
            <v>CLEBER KIEL OLIVO</v>
          </cell>
          <cell r="G41" t="str">
            <v>cleber.kiel@pucpr.br</v>
          </cell>
          <cell r="H41" t="str">
            <v>cleber.kiel@pucpr.br</v>
          </cell>
        </row>
        <row r="42">
          <cell r="A42" t="str">
            <v>DALTON VINICIUS KOZAK</v>
          </cell>
          <cell r="G42" t="str">
            <v>dalton.kozak@pucpr.br</v>
          </cell>
          <cell r="H42" t="str">
            <v>valter.klein@pucpr.br</v>
          </cell>
        </row>
        <row r="43">
          <cell r="A43" t="str">
            <v>DANIEL EMILIO DALLEDONE SIQUEIRA</v>
          </cell>
          <cell r="G43" t="str">
            <v>daniel.siqueira@hospitalmarcelino.com.br</v>
          </cell>
          <cell r="H43" t="str">
            <v>camila.giuliani@pucpr.br</v>
          </cell>
        </row>
        <row r="44">
          <cell r="A44" t="str">
            <v>DANIELE ROSEVICS OLIVEIRA</v>
          </cell>
          <cell r="G44" t="str">
            <v>daniele.roliveira@pucpr.br</v>
          </cell>
          <cell r="H44" t="str">
            <v>camila.giuliani@pucpr.br</v>
          </cell>
        </row>
        <row r="45">
          <cell r="A45" t="str">
            <v>DEBORA PATRICIA NEMER PINHEIRO</v>
          </cell>
          <cell r="G45" t="str">
            <v>debora.nemer@pucpr.br</v>
          </cell>
          <cell r="H45" t="str">
            <v>camila.parana@pucpr.br</v>
          </cell>
        </row>
        <row r="46">
          <cell r="A46" t="str">
            <v>DEBORAH IURI TAZIMA</v>
          </cell>
          <cell r="G46" t="str">
            <v>deborah.tazima@pucpr.br</v>
          </cell>
          <cell r="H46" t="str">
            <v>l.kava@pucpr.br</v>
          </cell>
        </row>
        <row r="47">
          <cell r="A47" t="str">
            <v>DENISE CAMARANI REVELK</v>
          </cell>
          <cell r="G47" t="str">
            <v>denise.revelk@pucpr.br</v>
          </cell>
          <cell r="H47" t="str">
            <v>adriana.valero@pucpr.br</v>
          </cell>
        </row>
        <row r="48">
          <cell r="A48" t="str">
            <v>DEOCLECIO JUNIOR CARDOSO DA SILVA</v>
          </cell>
          <cell r="G48" t="str">
            <v>deoclecio.silva@pucpr.br</v>
          </cell>
          <cell r="H48" t="str">
            <v>claudio.skora@pucpr.br</v>
          </cell>
        </row>
        <row r="49">
          <cell r="A49" t="str">
            <v>EDISOM PAULA BRUM</v>
          </cell>
          <cell r="G49" t="str">
            <v>edisom.brum@pucpr.br</v>
          </cell>
          <cell r="H49" t="str">
            <v>camila.giuliani@pucpr.br</v>
          </cell>
        </row>
        <row r="50">
          <cell r="A50" t="str">
            <v>EDSON EMILIO SCALABRIN</v>
          </cell>
          <cell r="G50" t="str">
            <v>edson.scalabrin@pucpr.br</v>
          </cell>
          <cell r="H50" t="str">
            <v>eduardo.lino@pucpr.br</v>
          </cell>
        </row>
        <row r="51">
          <cell r="A51" t="str">
            <v>EDUARDO DE FREITAS ROCHA LOURES</v>
          </cell>
          <cell r="G51" t="str">
            <v>eduardo.loures@pucpr.br</v>
          </cell>
          <cell r="H51" t="str">
            <v>emerson.donaisky@pucpr.br</v>
          </cell>
        </row>
        <row r="52">
          <cell r="A52" t="str">
            <v>EDUARDO LOPES MARTINS</v>
          </cell>
          <cell r="G52" t="str">
            <v>lopes.e@pucpr.br</v>
          </cell>
          <cell r="H52" t="str">
            <v>camila.giuliani@pucpr.br</v>
          </cell>
        </row>
        <row r="53">
          <cell r="A53" t="str">
            <v>EDUARDO RIBEIRO DA FONSECA</v>
          </cell>
          <cell r="G53" t="str">
            <v>eduardo.fonseca@grupomarista.org.br</v>
          </cell>
          <cell r="H53" t="str">
            <v>geovani.moretto@pucpr.br</v>
          </cell>
        </row>
        <row r="54">
          <cell r="A54" t="str">
            <v>ELIANE CRISTINE FRANCISCO MAFFEZZOLLI</v>
          </cell>
          <cell r="G54" t="str">
            <v>eliane.francisco@pucpr.br</v>
          </cell>
          <cell r="H54" t="str">
            <v>l.kava@pucpr.br</v>
          </cell>
        </row>
        <row r="55">
          <cell r="A55" t="str">
            <v>ELISANGELA FERRETTI MANFFRA</v>
          </cell>
          <cell r="G55" t="str">
            <v>elisangela.manffra@pucpr.br</v>
          </cell>
          <cell r="H55" t="str">
            <v>ricardo.nabhen@pucpr.br</v>
          </cell>
        </row>
        <row r="56">
          <cell r="A56" t="str">
            <v>ELIZABETH RIBEIRO MARTINS</v>
          </cell>
          <cell r="G56" t="str">
            <v>elizabeth.sou@pucpr.br</v>
          </cell>
          <cell r="H56" t="str">
            <v>claudio.skora@pucpr.br</v>
          </cell>
        </row>
        <row r="57">
          <cell r="A57" t="str">
            <v>EMERSON MARTIM</v>
          </cell>
          <cell r="G57" t="str">
            <v>emerson.martim@pucpr.br</v>
          </cell>
          <cell r="H57" t="str">
            <v>priscila.praxedes@grupomarista.org.br</v>
          </cell>
        </row>
        <row r="58">
          <cell r="A58" t="str">
            <v>ERICA REGINA TAKANO NATTI</v>
          </cell>
          <cell r="G58" t="str">
            <v>erica.natti@pucpr.br</v>
          </cell>
          <cell r="H58" t="str">
            <v>erica.natti@pucpr.br</v>
          </cell>
        </row>
        <row r="59">
          <cell r="A59" t="str">
            <v>ERIKA HOYAMA</v>
          </cell>
          <cell r="G59" t="str">
            <v>erika.hoyama@pucpr.br</v>
          </cell>
          <cell r="H59" t="str">
            <v>luci.castro@pucpr.br</v>
          </cell>
        </row>
        <row r="60">
          <cell r="A60" t="str">
            <v>ERIKA OKUNO</v>
          </cell>
          <cell r="G60" t="str">
            <v>erika.okuno@pucpr.br</v>
          </cell>
          <cell r="H60" t="str">
            <v>luci.castro@pucpr.br</v>
          </cell>
        </row>
        <row r="61">
          <cell r="A61" t="str">
            <v>ETIANE CALOY BOVKALOVSKI</v>
          </cell>
          <cell r="G61" t="str">
            <v>etiane.caloy@pucpr.br</v>
          </cell>
          <cell r="H61" t="str">
            <v>etiane.caloy@pucpr.br</v>
          </cell>
        </row>
        <row r="62">
          <cell r="A62" t="str">
            <v>EVERSON LUIZ OLIVEIRA MOTTA</v>
          </cell>
          <cell r="G62" t="str">
            <v>everson.motta@pucpr.br</v>
          </cell>
          <cell r="H62" t="str">
            <v>daniele.saheb@pucpr.br</v>
          </cell>
        </row>
        <row r="63">
          <cell r="A63" t="str">
            <v>EWERTON DE SA KAVISKI</v>
          </cell>
          <cell r="G63" t="str">
            <v>ewerton.kaviski@pucpr.br</v>
          </cell>
          <cell r="H63" t="str">
            <v>joselia.ribeiro@grupomarista.org.br</v>
          </cell>
        </row>
        <row r="64">
          <cell r="A64" t="str">
            <v>FABIO HENRIQUE FELTRIN</v>
          </cell>
          <cell r="G64" t="str">
            <v>fabio.feltrin@pucpr.br</v>
          </cell>
          <cell r="H64" t="str">
            <v>jeferson.thauny@pucpr.br</v>
          </cell>
        </row>
        <row r="65">
          <cell r="A65" t="str">
            <v>FELICIO ARAGAO SAVIOLI</v>
          </cell>
          <cell r="G65" t="str">
            <v>felicio.asavioli@pucpr.br</v>
          </cell>
          <cell r="H65" t="str">
            <v>camila.giuliani@pucpr.br</v>
          </cell>
        </row>
        <row r="66">
          <cell r="A66" t="str">
            <v>FERNANDA CORREA PAVESI LARA</v>
          </cell>
          <cell r="G66" t="str">
            <v>fernanda.pavesi@pucpr.br</v>
          </cell>
          <cell r="H66" t="str">
            <v>santos.clayton@pucpr.br</v>
          </cell>
        </row>
        <row r="67">
          <cell r="A67" t="str">
            <v>FERNANDA CRISTINA OSTROVSKI SALES</v>
          </cell>
          <cell r="G67" t="str">
            <v>fernanda.o@pucpr.br</v>
          </cell>
          <cell r="H67" t="str">
            <v>fernanda.o@pucpr.br</v>
          </cell>
        </row>
        <row r="68">
          <cell r="A68" t="str">
            <v>FERNANDA MEDEIROS ASSEF</v>
          </cell>
          <cell r="G68" t="str">
            <v>fernanda.massef@pucpr.br</v>
          </cell>
          <cell r="H68" t="str">
            <v>gabriela.veiga@pucpr.br</v>
          </cell>
        </row>
        <row r="69">
          <cell r="A69" t="str">
            <v>FERNANDA RAQUEL THOMAZ DE ARAUJO</v>
          </cell>
          <cell r="G69" t="str">
            <v>raquel.fernanda@pucpr.br</v>
          </cell>
          <cell r="H69" t="str">
            <v>santos.clayton@pucpr.br</v>
          </cell>
        </row>
        <row r="70">
          <cell r="A70" t="str">
            <v>FLAVIA COSTA PREVEDELLO</v>
          </cell>
          <cell r="G70" t="str">
            <v>flavia.costa@pucpr.br</v>
          </cell>
          <cell r="H70" t="str">
            <v>camila.giuliani@pucpr.br</v>
          </cell>
        </row>
        <row r="71">
          <cell r="A71" t="str">
            <v>FLAVIA MARIA DE PAULA SOARES</v>
          </cell>
          <cell r="G71" t="str">
            <v>flavia.paula@pucpr.br</v>
          </cell>
          <cell r="H71" t="str">
            <v>camila.parana@pucpr.br</v>
          </cell>
        </row>
        <row r="72">
          <cell r="A72" t="str">
            <v>FLAVIA OBARA KAI</v>
          </cell>
          <cell r="G72" t="str">
            <v>flavia.kai@pucpr.br</v>
          </cell>
          <cell r="H72" t="str">
            <v>l.kava@pucpr.br</v>
          </cell>
        </row>
        <row r="73">
          <cell r="A73" t="str">
            <v>FLAVIO HEUTA IVANO</v>
          </cell>
          <cell r="G73" t="str">
            <v>flavio.ivano@pucpr.br</v>
          </cell>
          <cell r="H73" t="str">
            <v>camila.giuliani@pucpr.br</v>
          </cell>
        </row>
        <row r="74">
          <cell r="A74" t="str">
            <v>FLAVIO LUIZ VON DER OSTEN</v>
          </cell>
          <cell r="G74" t="str">
            <v>flavio.osten@pucpr.br</v>
          </cell>
          <cell r="H74" t="str">
            <v>l.kava@pucpr.br</v>
          </cell>
        </row>
        <row r="75">
          <cell r="A75" t="str">
            <v>GIBRAN AVELINO FRANDOLOSO</v>
          </cell>
          <cell r="G75" t="str">
            <v>gibran.avelino@pucpr.br</v>
          </cell>
          <cell r="H75" t="str">
            <v>camila.giuliani@pucpr.br</v>
          </cell>
        </row>
        <row r="76">
          <cell r="A76" t="str">
            <v>GLAUCIO HENRIQUE MATSUSHITA MORO</v>
          </cell>
          <cell r="G76" t="str">
            <v>glaucio.moro@pucpr.br</v>
          </cell>
          <cell r="H76" t="str">
            <v>leonardo.goncalves@pucpr.br</v>
          </cell>
        </row>
        <row r="77">
          <cell r="A77" t="str">
            <v>GUILHERME BARRETO GAMEIRO SILVA</v>
          </cell>
          <cell r="G77" t="str">
            <v>guilherme.gameiro@hospitalcajuru.com.br</v>
          </cell>
          <cell r="H77" t="str">
            <v>camila.giuliani@pucpr.br</v>
          </cell>
        </row>
        <row r="78">
          <cell r="A78" t="str">
            <v>GUILHERME BITTENCOURT TEIXEIRA</v>
          </cell>
          <cell r="G78" t="str">
            <v>g.teixeira@pucpr.br</v>
          </cell>
          <cell r="H78" t="str">
            <v>adriana.valero@pucpr.br</v>
          </cell>
        </row>
        <row r="79">
          <cell r="A79" t="str">
            <v>GUILHERME GUBERT MULLER</v>
          </cell>
          <cell r="G79" t="str">
            <v>guilherme.gmuller@pucpr.br</v>
          </cell>
          <cell r="H79" t="str">
            <v>camila.giuliani@pucpr.br</v>
          </cell>
        </row>
        <row r="80">
          <cell r="A80" t="str">
            <v>GUSTAVO GAVAZZONI BLUME</v>
          </cell>
          <cell r="G80" t="str">
            <v>gustavo.blume@pucpr.br</v>
          </cell>
          <cell r="H80" t="str">
            <v>camila.giuliani@pucpr.br</v>
          </cell>
        </row>
        <row r="81">
          <cell r="A81" t="str">
            <v>GUSTAVO GRANDER</v>
          </cell>
          <cell r="G81" t="str">
            <v>gustavo.grander@pucpr.br</v>
          </cell>
          <cell r="H81" t="str">
            <v>gustavo.grander@pucpr.br</v>
          </cell>
        </row>
        <row r="82">
          <cell r="A82" t="str">
            <v>GUSTAVO LEITE FRANKLIN</v>
          </cell>
          <cell r="G82" t="str">
            <v>gustavo.franklin@pucpr.br</v>
          </cell>
          <cell r="H82" t="str">
            <v>camila.giuliani@pucpr.br</v>
          </cell>
        </row>
        <row r="83">
          <cell r="A83" t="str">
            <v>HELISON BERTOLI ALVES DIAS</v>
          </cell>
          <cell r="G83" t="str">
            <v>helison.bertoli@pucpr.br</v>
          </cell>
          <cell r="H83" t="str">
            <v>l.kava@pucpr.br</v>
          </cell>
        </row>
        <row r="84">
          <cell r="A84" t="str">
            <v>HENRIQUE DEMENECK</v>
          </cell>
          <cell r="G84" t="str">
            <v>demeneck.henrique@pucpr.br</v>
          </cell>
          <cell r="H84" t="str">
            <v>camila.giuliani@pucpr.br</v>
          </cell>
        </row>
        <row r="85">
          <cell r="A85" t="str">
            <v>HOLISSES BELLON</v>
          </cell>
          <cell r="G85" t="str">
            <v>holisses.bellon1@pucpr.br</v>
          </cell>
          <cell r="H85" t="str">
            <v>regina.fabia@pucpr.br</v>
          </cell>
        </row>
        <row r="86">
          <cell r="A86" t="str">
            <v>HORACIO ALVARENGA MOREIRA</v>
          </cell>
          <cell r="G86" t="str">
            <v>horacio.moreira@pucpr.br</v>
          </cell>
          <cell r="H86" t="str">
            <v>luci.castro@pucpr.br</v>
          </cell>
        </row>
        <row r="87">
          <cell r="A87" t="str">
            <v>HUDSON PRESTES DOS SANTOS</v>
          </cell>
          <cell r="G87" t="str">
            <v>hudson.prestes@pucpr.br</v>
          </cell>
          <cell r="H87" t="str">
            <v>jackson.bittencourt@pucpr.br</v>
          </cell>
        </row>
        <row r="88">
          <cell r="A88" t="str">
            <v>HUGO LEONARDO MARTINS CORREA</v>
          </cell>
          <cell r="G88" t="str">
            <v>hugo.lcorrea@pucpr.br</v>
          </cell>
          <cell r="H88" t="str">
            <v>francieli.mognon@pucpr.br</v>
          </cell>
        </row>
        <row r="89">
          <cell r="A89" t="str">
            <v>ISABELA MAYUMI NAKANISHI TAKAKI</v>
          </cell>
          <cell r="G89" t="str">
            <v>isabela.nakanishi@pucpr.br</v>
          </cell>
          <cell r="H89" t="str">
            <v>luci.castro@pucpr.br</v>
          </cell>
        </row>
        <row r="90">
          <cell r="A90" t="str">
            <v>JAMILE DA COSTA RIECHI</v>
          </cell>
          <cell r="G90" t="str">
            <v>jamile.riechi@pucpr.br</v>
          </cell>
          <cell r="H90" t="str">
            <v>luci.castro@pucpr.br</v>
          </cell>
        </row>
        <row r="91">
          <cell r="A91" t="str">
            <v>JANIO DENIS GABRIEL</v>
          </cell>
          <cell r="G91" t="str">
            <v>janio.gabriel@pucpr.br</v>
          </cell>
          <cell r="H91" t="str">
            <v>ricardo.nabhen@pucpr.br</v>
          </cell>
        </row>
        <row r="92">
          <cell r="A92" t="str">
            <v>JEAN RODRIGO TAFAREL</v>
          </cell>
          <cell r="G92" t="str">
            <v>jean.tafarel@pucpr.br</v>
          </cell>
          <cell r="H92" t="str">
            <v>camila.giuliani@pucpr.br</v>
          </cell>
        </row>
        <row r="93">
          <cell r="A93" t="str">
            <v>JELSON ROBERTO DE OLIVEIRA</v>
          </cell>
          <cell r="G93" t="str">
            <v>jelson.oliveira@pucpr.br</v>
          </cell>
          <cell r="H93" t="str">
            <v>geovani.moretto@pucpr.br</v>
          </cell>
        </row>
        <row r="94">
          <cell r="A94" t="str">
            <v>JHONATAN GEREMIAS</v>
          </cell>
          <cell r="G94" t="str">
            <v>jhonatan.geremias@pucpr.br</v>
          </cell>
          <cell r="H94" t="str">
            <v>cleber.kiel@pucpr.br</v>
          </cell>
        </row>
        <row r="95">
          <cell r="A95" t="str">
            <v>JOAO ANTONIO DE FREITAS COELHO</v>
          </cell>
          <cell r="G95" t="str">
            <v>joao.acoelho@pucpr.br</v>
          </cell>
          <cell r="H95" t="str">
            <v>adriana.valero@pucpr.br</v>
          </cell>
        </row>
        <row r="96">
          <cell r="A96" t="str">
            <v>JOELTON DEONEI GOTZ</v>
          </cell>
          <cell r="G96" t="str">
            <v>joelton.gotz@pucpr.br</v>
          </cell>
          <cell r="H96" t="str">
            <v>eduardo.lino@pucpr.br</v>
          </cell>
        </row>
        <row r="97">
          <cell r="A97" t="str">
            <v>JONES LUIS SCHAEFER</v>
          </cell>
          <cell r="G97" t="str">
            <v>jones.schaefer@pucpr.br</v>
          </cell>
          <cell r="H97" t="str">
            <v>gabriela.veiga@pucpr.br</v>
          </cell>
        </row>
        <row r="98">
          <cell r="A98" t="str">
            <v>JOSETH ANTONIA OLIVEIRA JARDIM</v>
          </cell>
          <cell r="G98" t="str">
            <v>joseth.jardim@pucpr.br</v>
          </cell>
          <cell r="H98" t="str">
            <v>camila.parana@pucpr.br</v>
          </cell>
        </row>
        <row r="99">
          <cell r="A99" t="str">
            <v>JULIANA CONCEICAO NOSCHANG DA COSTA</v>
          </cell>
          <cell r="G99" t="str">
            <v>juliana.noschang@pucpr.br</v>
          </cell>
          <cell r="H99" t="str">
            <v>l.kava@pucpr.br</v>
          </cell>
        </row>
        <row r="100">
          <cell r="A100" t="str">
            <v>JULIANO DE TROTTA</v>
          </cell>
          <cell r="G100" t="str">
            <v>juliano.trotta@pucpr.br</v>
          </cell>
          <cell r="H100" t="str">
            <v>camila.giuliani@pucpr.br</v>
          </cell>
        </row>
        <row r="101">
          <cell r="A101" t="str">
            <v>JULIANO MUNIK BORA</v>
          </cell>
          <cell r="G101" t="str">
            <v>juliano.munik@pucpr.br</v>
          </cell>
          <cell r="H101" t="str">
            <v>gabriela.veiga@pucpr.br</v>
          </cell>
        </row>
        <row r="102">
          <cell r="A102" t="str">
            <v>KAREN FERNANDES DE MOURA SAAB</v>
          </cell>
          <cell r="G102" t="str">
            <v>moura.fernandes@hospitalmarcelino.com.br</v>
          </cell>
          <cell r="H102" t="str">
            <v>camila.giuliani@pucpr.br</v>
          </cell>
        </row>
        <row r="103">
          <cell r="A103" t="str">
            <v>KATIA ALESSANDRA PASTORI TERRIN</v>
          </cell>
          <cell r="G103" t="str">
            <v>katia.terrin@pucpr.br</v>
          </cell>
          <cell r="H103" t="str">
            <v>santos.clayton@pucpr.br</v>
          </cell>
        </row>
        <row r="104">
          <cell r="A104" t="str">
            <v>KELLY CHRISTINE LANDOLFI BETTIO</v>
          </cell>
          <cell r="G104" t="str">
            <v>kelly.bettio@pucpr.br</v>
          </cell>
          <cell r="H104" t="str">
            <v>regina.fabia@pucpr.br</v>
          </cell>
        </row>
        <row r="105">
          <cell r="A105" t="str">
            <v>KENZO HOKAZONO</v>
          </cell>
          <cell r="G105" t="str">
            <v>kenzo.hokazono@pucpr.br</v>
          </cell>
          <cell r="H105" t="str">
            <v>camila.giuliani@pucpr.br</v>
          </cell>
        </row>
        <row r="106">
          <cell r="A106" t="str">
            <v>KLEBER BEZ BIROLO CANDIOTTO</v>
          </cell>
          <cell r="G106" t="str">
            <v>kleber.c@pucpr.br</v>
          </cell>
          <cell r="H106" t="str">
            <v>geovani.moretto@pucpr.br</v>
          </cell>
        </row>
        <row r="107">
          <cell r="A107" t="str">
            <v>LEANDRO TADEU CATAPAM</v>
          </cell>
          <cell r="G107" t="str">
            <v>leandro.catapam@pucpr.br</v>
          </cell>
          <cell r="H107" t="str">
            <v>leonardo.goncalves@pucpr.br</v>
          </cell>
        </row>
        <row r="108">
          <cell r="A108" t="str">
            <v>LEONARDO CAVALHEIRO MARTINEZ</v>
          </cell>
          <cell r="G108" t="str">
            <v>leonardo.cavalheiro@pucpr.br</v>
          </cell>
          <cell r="H108" t="str">
            <v>leonardo.cavalheiro@pucpr.br</v>
          </cell>
        </row>
        <row r="109">
          <cell r="A109" t="str">
            <v>LEVINO BERTOCHI JUNIOR</v>
          </cell>
          <cell r="G109" t="str">
            <v>levino.bertochi@pucpr.br</v>
          </cell>
          <cell r="H109" t="str">
            <v>l.kava@pucpr.br</v>
          </cell>
        </row>
        <row r="110">
          <cell r="A110" t="str">
            <v>LIDIA ANA ZYTYNSKI MOURA</v>
          </cell>
          <cell r="G110" t="str">
            <v>lidia.moura@pucpr.br</v>
          </cell>
          <cell r="H110" t="str">
            <v>camila.giuliani@pucpr.br</v>
          </cell>
        </row>
        <row r="111">
          <cell r="A111" t="str">
            <v>LUANA KAVA</v>
          </cell>
          <cell r="G111" t="str">
            <v>l.kava@pucpr.br</v>
          </cell>
          <cell r="H111" t="str">
            <v>l.kava@pucpr.br</v>
          </cell>
        </row>
        <row r="112">
          <cell r="A112" t="str">
            <v>LUIZ FERNANDO PEREIRA</v>
          </cell>
          <cell r="G112" t="str">
            <v>fernando.pereira@pucpr.br</v>
          </cell>
          <cell r="H112" t="str">
            <v>ana.greca@pucpr.br</v>
          </cell>
        </row>
        <row r="113">
          <cell r="A113" t="str">
            <v>LUIZ FERNANDO VELOSO BORBA NAVOLAR</v>
          </cell>
          <cell r="G113" t="str">
            <v>luiz.veloso@pucpr.br</v>
          </cell>
          <cell r="H113" t="str">
            <v>fabio.binder@pucpr.br</v>
          </cell>
        </row>
        <row r="114">
          <cell r="A114" t="str">
            <v>LUIZA SVIESK SPRUNG</v>
          </cell>
          <cell r="G114" t="str">
            <v>luiza.sprung@pucpr.br</v>
          </cell>
          <cell r="H114" t="str">
            <v>camila.giuliani@pucpr.br</v>
          </cell>
        </row>
        <row r="115">
          <cell r="A115" t="str">
            <v>LUKA DAVID LECHINEWSKI</v>
          </cell>
          <cell r="G115" t="str">
            <v>luka.dlechinewski@pucpr.br</v>
          </cell>
          <cell r="H115" t="str">
            <v>camila.giuliani@pucpr.br</v>
          </cell>
        </row>
        <row r="116">
          <cell r="A116" t="str">
            <v>MAICRIS FERNANDES</v>
          </cell>
          <cell r="G116" t="str">
            <v>maicris.fernandes@pucpr.br</v>
          </cell>
          <cell r="H116" t="str">
            <v>fabio.binder@pucpr.br</v>
          </cell>
        </row>
        <row r="117">
          <cell r="A117" t="str">
            <v>MARCELO PILLONETTO</v>
          </cell>
          <cell r="G117" t="str">
            <v>m.pilonetto@pucpr.br</v>
          </cell>
          <cell r="H117" t="str">
            <v>camila.giuliani@pucpr.br</v>
          </cell>
        </row>
        <row r="118">
          <cell r="A118" t="str">
            <v>MARCIA MARIA ALVES</v>
          </cell>
          <cell r="G118" t="str">
            <v>marcia.malves@pucpr.br</v>
          </cell>
          <cell r="H118" t="str">
            <v>leonardo.goncalves@pucpr.br</v>
          </cell>
        </row>
        <row r="119">
          <cell r="A119" t="str">
            <v>MARCIA OLANDOSKI</v>
          </cell>
          <cell r="G119" t="str">
            <v>marcia.olandoski@pucpr.br</v>
          </cell>
          <cell r="H119" t="str">
            <v>camila.giuliani@pucpr.br</v>
          </cell>
        </row>
        <row r="120">
          <cell r="A120" t="str">
            <v>MARCIA TEREZINHA DE OLIVEIRA</v>
          </cell>
          <cell r="G120" t="str">
            <v>marcia.oliveira@pucpr.br</v>
          </cell>
          <cell r="H120" t="str">
            <v>andrea.braga@pucpr.br</v>
          </cell>
        </row>
        <row r="121">
          <cell r="A121" t="str">
            <v>MARCIO LUIZ FERNANDES</v>
          </cell>
          <cell r="G121" t="str">
            <v>marcio.luiz@pucpr.br</v>
          </cell>
          <cell r="H121" t="str">
            <v>cesar.leandro@pucpr.br</v>
          </cell>
        </row>
        <row r="122">
          <cell r="A122" t="str">
            <v>MARCIO SAPORSKI SEGUI</v>
          </cell>
          <cell r="G122" t="str">
            <v>marcio.segui@pucpr.br</v>
          </cell>
          <cell r="H122" t="str">
            <v>celina.duque@pucpr.br</v>
          </cell>
        </row>
        <row r="123">
          <cell r="A123" t="str">
            <v>MARCO CESAR JORGE DOS SANTOS</v>
          </cell>
          <cell r="G123" t="str">
            <v>marco.jorge@pucpr.br</v>
          </cell>
          <cell r="H123" t="str">
            <v>camila.giuliani@pucpr.br</v>
          </cell>
        </row>
        <row r="124">
          <cell r="A124" t="str">
            <v>MARI REGINA ANASTACIO</v>
          </cell>
          <cell r="G124" t="str">
            <v>mari.anastacio@pucpr.br</v>
          </cell>
          <cell r="H124" t="str">
            <v>claudio.skora@pucpr.br</v>
          </cell>
        </row>
        <row r="125">
          <cell r="A125" t="str">
            <v>MARIA ALICE WITT</v>
          </cell>
          <cell r="G125" t="str">
            <v>maria.witt@pucpr.br</v>
          </cell>
          <cell r="H125" t="str">
            <v>maria.witt@pucpr.br</v>
          </cell>
        </row>
        <row r="126">
          <cell r="A126" t="str">
            <v>MARIA CRISTINA FIGUEROA MAGALHAES</v>
          </cell>
          <cell r="G126" t="str">
            <v>maria.figueroa@pucpr.br</v>
          </cell>
          <cell r="H126" t="str">
            <v>camila.giuliani@pucpr.br</v>
          </cell>
        </row>
        <row r="127">
          <cell r="A127" t="str">
            <v>MARIA HELENA CAMARGO PERALTA DEL VALLE</v>
          </cell>
          <cell r="G127" t="str">
            <v>maria.peralta-del@pucpr.br</v>
          </cell>
          <cell r="H127" t="str">
            <v>camila.giuliani@pucpr.br</v>
          </cell>
        </row>
        <row r="128">
          <cell r="A128" t="str">
            <v>MARIA ISABEL LOVO MARTINS BUSCH PEREIRA</v>
          </cell>
          <cell r="G128" t="str">
            <v>maria.ipereira@pucpr.br</v>
          </cell>
          <cell r="H128" t="str">
            <v>luci.castro@pucpr.br</v>
          </cell>
        </row>
        <row r="129">
          <cell r="A129" t="str">
            <v>MARIANA COLLETE</v>
          </cell>
          <cell r="G129" t="str">
            <v>collete.mariana@pucpr.br</v>
          </cell>
          <cell r="H129" t="str">
            <v>luci.castro@pucpr.br</v>
          </cell>
        </row>
        <row r="130">
          <cell r="A130" t="str">
            <v>MARIANA COUTO SIQUEIRA</v>
          </cell>
          <cell r="G130" t="str">
            <v>mariana.couto@pucpr.br</v>
          </cell>
          <cell r="H130" t="str">
            <v>francine.valenga@pucpr.br</v>
          </cell>
        </row>
        <row r="131">
          <cell r="A131" t="str">
            <v>MARION BURGER</v>
          </cell>
          <cell r="G131" t="str">
            <v>marion.burger@pucpr.br</v>
          </cell>
          <cell r="H131" t="str">
            <v>camila.giuliani@pucpr.br</v>
          </cell>
        </row>
        <row r="132">
          <cell r="A132" t="str">
            <v>MARISA INES CORRADI</v>
          </cell>
          <cell r="G132" t="str">
            <v>m.corradi@pucpr.br</v>
          </cell>
          <cell r="H132" t="str">
            <v>luana.tonin@pucpr.br</v>
          </cell>
        </row>
        <row r="133">
          <cell r="A133" t="str">
            <v>MARISSE COSTA DE QUEIROZ</v>
          </cell>
          <cell r="G133" t="str">
            <v>marisse.queiroz@pucpr.br</v>
          </cell>
          <cell r="H133" t="str">
            <v>santos.clayton@pucpr.br</v>
          </cell>
        </row>
        <row r="134">
          <cell r="A134" t="str">
            <v>MARK EIRIK SCORTEGAGNA JOSELLI</v>
          </cell>
          <cell r="G134" t="str">
            <v>mark.joselli@pucpr.br</v>
          </cell>
          <cell r="H134" t="str">
            <v>fabio.binder@pucpr.br</v>
          </cell>
        </row>
        <row r="135">
          <cell r="A135" t="str">
            <v>MAUREN ABREU DE SOUZA</v>
          </cell>
          <cell r="G135" t="str">
            <v>mauren.souza@pucpr.br</v>
          </cell>
          <cell r="H135" t="str">
            <v>francine.valenga@pucpr.br</v>
          </cell>
        </row>
        <row r="136">
          <cell r="A136" t="str">
            <v>MAURICIO MONTEMEZZO</v>
          </cell>
          <cell r="G136" t="str">
            <v>mauricio.montemezzo@pucpr.br</v>
          </cell>
          <cell r="H136" t="str">
            <v>camila.giuliani@pucpr.br</v>
          </cell>
        </row>
        <row r="137">
          <cell r="A137" t="str">
            <v>MAURICIO PERIN NEVES DA SILVA</v>
          </cell>
          <cell r="G137" t="str">
            <v>mauricio.neves@pucpr.br</v>
          </cell>
          <cell r="H137" t="str">
            <v>bruno.paula@pucpr.br</v>
          </cell>
        </row>
        <row r="138">
          <cell r="A138" t="str">
            <v>MAURO PELLISSARI</v>
          </cell>
          <cell r="G138" t="str">
            <v>mauro.pellissari@pucpr.br</v>
          </cell>
          <cell r="H138" t="str">
            <v>geovani.moretto@pucpr.br</v>
          </cell>
        </row>
        <row r="139">
          <cell r="A139" t="str">
            <v>MILENE LEIVAS VIEIRA</v>
          </cell>
          <cell r="G139" t="str">
            <v>milene.vieira@pucpr.br</v>
          </cell>
          <cell r="H139" t="str">
            <v>luci.castro@pucpr.br</v>
          </cell>
        </row>
        <row r="140">
          <cell r="A140" t="str">
            <v>MIRIAN CELIA CASTELLAIN GUEBERT</v>
          </cell>
          <cell r="G140" t="str">
            <v>mirian.castellain@pucpr.br</v>
          </cell>
          <cell r="H140" t="str">
            <v>daniele.saheb@pucpr.br</v>
          </cell>
        </row>
        <row r="141">
          <cell r="A141" t="str">
            <v>NAIRANA RADTKE CANEPPELE BUSSLER</v>
          </cell>
          <cell r="G141" t="str">
            <v>nairana.bussler@pucpr.br</v>
          </cell>
          <cell r="H141" t="str">
            <v>claudio.skora@pucpr.br</v>
          </cell>
        </row>
        <row r="142">
          <cell r="A142" t="str">
            <v>NATALIA CARDOSO WINTER</v>
          </cell>
          <cell r="G142" t="str">
            <v>natalia.casantos@pucpr.br</v>
          </cell>
          <cell r="H142" t="str">
            <v>willian.brosa@pucpr.br</v>
          </cell>
        </row>
        <row r="143">
          <cell r="A143" t="str">
            <v>NELISA SITA PIRES PICOLOTTO MARTIM</v>
          </cell>
          <cell r="G143" t="str">
            <v>nelisa.picolotto@pucpr.br</v>
          </cell>
          <cell r="H143" t="str">
            <v>francine.valenga@pucpr.br</v>
          </cell>
        </row>
        <row r="144">
          <cell r="A144" t="str">
            <v>NICOLE CHAGAS LIMA</v>
          </cell>
          <cell r="G144" t="str">
            <v>nicole.clima@pucpr.br</v>
          </cell>
          <cell r="H144" t="str">
            <v>leonardo.goncalves@pucpr.br</v>
          </cell>
        </row>
        <row r="145">
          <cell r="A145" t="str">
            <v>OLIMPIO DE PAULA XAVIER FILHO</v>
          </cell>
          <cell r="G145" t="str">
            <v>olimpio.filho@pucpr.br</v>
          </cell>
          <cell r="H145" t="str">
            <v>francine.valenga@pucpr.br</v>
          </cell>
        </row>
        <row r="146">
          <cell r="A146" t="str">
            <v>ORLANDO MOTOHIRO TANAKA</v>
          </cell>
          <cell r="G146" t="str">
            <v>tanaka.o@pucpr.br</v>
          </cell>
          <cell r="H146" t="str">
            <v>everdan.carneiro@pucpr.br</v>
          </cell>
        </row>
        <row r="147">
          <cell r="A147" t="str">
            <v>OTTO HENRIQUE MARTINS DA SILVA</v>
          </cell>
          <cell r="G147" t="str">
            <v>otto.silva@pucpr.br</v>
          </cell>
          <cell r="H147" t="str">
            <v>cristian.schmidt@pucpr.br</v>
          </cell>
        </row>
        <row r="148">
          <cell r="A148" t="str">
            <v>PATRICIA FONSECA FERREIRA FLEURY</v>
          </cell>
          <cell r="G148" t="str">
            <v>patricia.ffleury@pucpr.br</v>
          </cell>
          <cell r="H148" t="str">
            <v>daniele.saheb@pucpr.br</v>
          </cell>
        </row>
        <row r="149">
          <cell r="A149" t="str">
            <v>PATRICIA LONGHI BUSO</v>
          </cell>
          <cell r="G149" t="str">
            <v>patricia.longhi@pucpr.br</v>
          </cell>
          <cell r="H149" t="str">
            <v>camila.giuliani@pucpr.br</v>
          </cell>
        </row>
        <row r="150">
          <cell r="A150" t="str">
            <v>PATRICIA TENDOLINI OLIVEIRA DE MELO</v>
          </cell>
          <cell r="G150" t="str">
            <v>patricia.toliveira@pucpr.br</v>
          </cell>
          <cell r="H150" t="str">
            <v>patricia.toliveira@pucpr.br</v>
          </cell>
        </row>
        <row r="151">
          <cell r="A151" t="str">
            <v>PATRICIA ZAGANIN CAMILO ROSA</v>
          </cell>
          <cell r="G151" t="str">
            <v>patricia.zrosa@pucpr.br</v>
          </cell>
          <cell r="H151" t="str">
            <v>jose.duran@pucpr.br</v>
          </cell>
        </row>
        <row r="152">
          <cell r="A152" t="str">
            <v>PAULINA ALEJANDRA SANTANDER PEREZ</v>
          </cell>
          <cell r="G152" t="str">
            <v>paulina.perez@pucpr.br</v>
          </cell>
          <cell r="H152" t="str">
            <v>camila.giuliani@pucpr.br</v>
          </cell>
        </row>
        <row r="153">
          <cell r="A153" t="str">
            <v>PAULO ADILSON HERRERA</v>
          </cell>
          <cell r="G153" t="str">
            <v>paulo.herrera@pucpr.br</v>
          </cell>
          <cell r="H153" t="str">
            <v>luci.castro@pucpr.br</v>
          </cell>
        </row>
        <row r="154">
          <cell r="A154" t="str">
            <v>PAULO CESAR PORTO MARTINS</v>
          </cell>
          <cell r="G154" t="str">
            <v>paulo.porto@pucpr.br</v>
          </cell>
          <cell r="H154" t="str">
            <v>claudio.skora@pucpr.br</v>
          </cell>
        </row>
        <row r="155">
          <cell r="A155" t="str">
            <v>PAULO D ASSUMPCAO ZANIOL</v>
          </cell>
          <cell r="G155" t="str">
            <v>paulo.zaniol@pucpr.br</v>
          </cell>
          <cell r="H155" t="str">
            <v>leonardo.goncalves@pucpr.br</v>
          </cell>
        </row>
        <row r="156">
          <cell r="A156" t="str">
            <v>PAULO HENRIQUE GUILMAN TANIZAWA</v>
          </cell>
          <cell r="G156" t="str">
            <v>paulo.tanizawa@pucpr.br</v>
          </cell>
          <cell r="H156" t="str">
            <v>santos.clayton@pucpr.br</v>
          </cell>
        </row>
        <row r="157">
          <cell r="A157" t="str">
            <v>PAULO HENRIQUE MARAVIESKI BRAMBILLA</v>
          </cell>
          <cell r="G157" t="str">
            <v>paulo.brambilla@pucpr.br</v>
          </cell>
          <cell r="H157" t="str">
            <v>erica.natti@pucpr.br</v>
          </cell>
        </row>
        <row r="158">
          <cell r="A158" t="str">
            <v>PAULO HENRIQUE REIS NEGREIROS</v>
          </cell>
          <cell r="G158" t="str">
            <v>paulo.hnegreiros@pucpr.br</v>
          </cell>
          <cell r="H158" t="str">
            <v>camila.giuliani@pucpr.br</v>
          </cell>
        </row>
        <row r="159">
          <cell r="A159" t="str">
            <v>PEDRO GUILHERME RIBEIRO PICCOLI</v>
          </cell>
          <cell r="G159" t="str">
            <v>pedro.guilherme@pucpr.br</v>
          </cell>
          <cell r="H159" t="str">
            <v>claudio.skora@pucpr.br</v>
          </cell>
        </row>
        <row r="160">
          <cell r="A160" t="str">
            <v>PRISCILA BEATRIZ DE SOUZA MEDEIROS</v>
          </cell>
          <cell r="G160" t="str">
            <v>priscila.bmedeiros@pucpr.br</v>
          </cell>
          <cell r="H160" t="str">
            <v>luci.castro@pucpr.br</v>
          </cell>
        </row>
        <row r="161">
          <cell r="A161" t="str">
            <v>PRISCILA XIMENES SOUZA DO NASCIMENTO</v>
          </cell>
          <cell r="G161" t="str">
            <v>priscila.ximenes@pucpr.br</v>
          </cell>
          <cell r="H161" t="str">
            <v>daniele.saheb@pucpr.br</v>
          </cell>
        </row>
        <row r="162">
          <cell r="A162" t="str">
            <v>RAFAEL JUNIOR SOARES</v>
          </cell>
          <cell r="G162" t="str">
            <v>junior.soares@pucpr.br</v>
          </cell>
          <cell r="H162" t="str">
            <v>santos.clayton@pucpr.br</v>
          </cell>
        </row>
        <row r="163">
          <cell r="A163" t="str">
            <v>RAFAEL WEISSHEIMER</v>
          </cell>
          <cell r="G163" t="str">
            <v>rafael.weissheimer@pucpr.br</v>
          </cell>
          <cell r="H163" t="str">
            <v>camila.giuliani@pucpr.br</v>
          </cell>
        </row>
        <row r="164">
          <cell r="A164" t="str">
            <v>RAPHAEL DONADIO PITTA</v>
          </cell>
          <cell r="G164" t="str">
            <v>raphael.pitta@pucpr.br</v>
          </cell>
          <cell r="H164" t="str">
            <v>luci.castro@pucpr.br</v>
          </cell>
        </row>
        <row r="165">
          <cell r="A165" t="str">
            <v>RAQUEL MERCEDES MOTTA XAVIER</v>
          </cell>
          <cell r="G165" t="str">
            <v>raquel.xavier@pucpr.br</v>
          </cell>
          <cell r="H165" t="str">
            <v>santos.clayton@pucpr.br</v>
          </cell>
        </row>
        <row r="166">
          <cell r="A166" t="str">
            <v>RAQUEL PANKE BITTENCOURT</v>
          </cell>
          <cell r="G166" t="str">
            <v>raquel.panke@pucpr.br</v>
          </cell>
          <cell r="H166" t="str">
            <v>geovani.moretto@pucpr.br</v>
          </cell>
        </row>
        <row r="167">
          <cell r="A167" t="str">
            <v>RAQUEL PEREIRA RODRIGUES LEITE</v>
          </cell>
          <cell r="G167" t="str">
            <v>raquel.leite@pucpr.br</v>
          </cell>
          <cell r="H167" t="str">
            <v>l.kava@pucpr.br</v>
          </cell>
        </row>
        <row r="168">
          <cell r="A168" t="str">
            <v>REMOM MATHEUS BORTOLOZZI</v>
          </cell>
          <cell r="G168" t="str">
            <v>remom.matheus@pucpr.br</v>
          </cell>
          <cell r="H168" t="str">
            <v>camila.parana@pucpr.br</v>
          </cell>
        </row>
        <row r="169">
          <cell r="A169" t="str">
            <v>RENAN BATTISTI ARCHER</v>
          </cell>
          <cell r="G169" t="str">
            <v>renan.archer@pucpr.br</v>
          </cell>
          <cell r="H169" t="str">
            <v>paulo.camargo@grupomarista.org.br</v>
          </cell>
        </row>
        <row r="170">
          <cell r="A170" t="str">
            <v>RENAN COLOMBO</v>
          </cell>
          <cell r="G170" t="str">
            <v>renan.colombo@pucpr.br</v>
          </cell>
          <cell r="H170" t="str">
            <v>suyanne.souza@pucpr.br</v>
          </cell>
        </row>
        <row r="171">
          <cell r="A171" t="str">
            <v>RENATO SOLEIMAN FRANCO</v>
          </cell>
          <cell r="G171" t="str">
            <v>renato.soleiman@pucpr.br</v>
          </cell>
          <cell r="H171" t="str">
            <v>camila.giuliani@pucpr.br</v>
          </cell>
        </row>
        <row r="172">
          <cell r="A172" t="str">
            <v>RENE BERGEL</v>
          </cell>
          <cell r="G172" t="str">
            <v>rene.bergel@pucpr.br</v>
          </cell>
          <cell r="H172" t="str">
            <v>claudio.skora@pucpr.br</v>
          </cell>
        </row>
        <row r="173">
          <cell r="A173" t="str">
            <v>RICARDO BERNARDO DA SILVA</v>
          </cell>
          <cell r="G173" t="str">
            <v>ricardo.bernardo@pucpr.br</v>
          </cell>
          <cell r="H173" t="str">
            <v>luci.castro@pucpr.br</v>
          </cell>
        </row>
        <row r="174">
          <cell r="A174" t="str">
            <v>RICARDO KURESKI</v>
          </cell>
          <cell r="G174" t="str">
            <v>ricardo.kureski@pucpr.br</v>
          </cell>
          <cell r="H174" t="str">
            <v>jackson.bittencourt@pucpr.br</v>
          </cell>
        </row>
        <row r="175">
          <cell r="A175" t="str">
            <v>RICARDO LUCATTO BAIDA</v>
          </cell>
          <cell r="G175" t="str">
            <v>ricardo.baida@pucpr.br</v>
          </cell>
          <cell r="H175" t="str">
            <v>luci.castro@pucpr.br</v>
          </cell>
        </row>
        <row r="176">
          <cell r="A176" t="str">
            <v>ROBERTO FRANZINI TIBALDEO</v>
          </cell>
          <cell r="G176" t="str">
            <v>roberto.tibaldeo@pucpr.br</v>
          </cell>
          <cell r="H176" t="str">
            <v>geovani.moretto@pucpr.br</v>
          </cell>
        </row>
        <row r="177">
          <cell r="A177" t="str">
            <v>ROBERTO HIROCHI HERAI</v>
          </cell>
          <cell r="G177" t="str">
            <v>roberto.herai@pucpr.br</v>
          </cell>
          <cell r="H177" t="str">
            <v>camila.giuliani@pucpr.br</v>
          </cell>
        </row>
        <row r="178">
          <cell r="A178" t="str">
            <v>RODRIGO DE ANDRADE KERSTEN</v>
          </cell>
          <cell r="G178" t="str">
            <v>r.kersten@pucpr.br</v>
          </cell>
          <cell r="H178" t="str">
            <v>ana.greca@pucpr.br</v>
          </cell>
        </row>
        <row r="179">
          <cell r="A179" t="str">
            <v>ROSA LYDIA TEIXEIRA CORREA</v>
          </cell>
          <cell r="G179" t="str">
            <v>rosa.correa@pucpr.br</v>
          </cell>
          <cell r="H179" t="str">
            <v>daniele.saheb@pucpr.br</v>
          </cell>
        </row>
        <row r="180">
          <cell r="A180" t="str">
            <v>ROSANI KUCARZ DA CUNHA</v>
          </cell>
          <cell r="G180" t="str">
            <v>rosani.cunha@pucpr.br</v>
          </cell>
          <cell r="H180" t="str">
            <v>geovani.moretto@pucpr.br</v>
          </cell>
        </row>
        <row r="181">
          <cell r="A181" t="str">
            <v>RUDA RYUITI FURUKITA BAPTISTA</v>
          </cell>
          <cell r="G181" t="str">
            <v>ruda.baptista@pucpr.br</v>
          </cell>
          <cell r="H181" t="str">
            <v>santos.clayton@pucpr.br</v>
          </cell>
        </row>
        <row r="182">
          <cell r="A182" t="str">
            <v>SAMARAH PERSZEL DE FREITAS</v>
          </cell>
          <cell r="G182" t="str">
            <v>samarah.freitas@pucpr.br</v>
          </cell>
          <cell r="H182" t="str">
            <v>camila.parana@pucpr.br</v>
          </cell>
        </row>
        <row r="183">
          <cell r="A183" t="str">
            <v>SANDRA CRISTINA BOUFLEUR</v>
          </cell>
          <cell r="G183" t="str">
            <v>sandra.boufler@pucpr.br</v>
          </cell>
          <cell r="H183" t="str">
            <v>ronaldo.alves@pucpr.br</v>
          </cell>
        </row>
        <row r="184">
          <cell r="A184" t="str">
            <v>SAULO VINICIUS DA ROSA</v>
          </cell>
          <cell r="G184" t="str">
            <v>saulo.vrosa@pucpr.br</v>
          </cell>
          <cell r="H184" t="str">
            <v>everdan.carneiro@pucpr.br</v>
          </cell>
        </row>
        <row r="185">
          <cell r="A185" t="str">
            <v>SHIMENY MICHELATO YOSHIY</v>
          </cell>
          <cell r="G185" t="str">
            <v>shimeny.yoshiy@pucpr.br</v>
          </cell>
          <cell r="H185" t="str">
            <v>mr.garcia@pucpr.br</v>
          </cell>
        </row>
        <row r="186">
          <cell r="A186" t="str">
            <v>SIDNEI RINALDO PRIOLO FILHO</v>
          </cell>
          <cell r="G186" t="str">
            <v>sidnei.filho@pucpr.br</v>
          </cell>
          <cell r="H186" t="str">
            <v>camila.parana@pucpr.br</v>
          </cell>
        </row>
        <row r="187">
          <cell r="A187" t="str">
            <v>SILVANA TASCHEK HASTREITER</v>
          </cell>
          <cell r="G187" t="str">
            <v>silvana.hastreiter@pucpr.br</v>
          </cell>
          <cell r="H187" t="str">
            <v>l.kava@pucpr.br</v>
          </cell>
        </row>
        <row r="188">
          <cell r="A188" t="str">
            <v>SUELI ALMEIDA DE OLIVEIRA</v>
          </cell>
          <cell r="G188" t="str">
            <v>sueli.almeida@pucpr.br</v>
          </cell>
          <cell r="H188" t="str">
            <v>jose.duran@pucpr.br</v>
          </cell>
        </row>
        <row r="189">
          <cell r="A189" t="str">
            <v>SUYANNE TOLENTINO DE SOUZA</v>
          </cell>
          <cell r="G189" t="str">
            <v>suyanne.souza@pucpr.br</v>
          </cell>
          <cell r="H189" t="str">
            <v>suyanne.souza@pucpr.br</v>
          </cell>
        </row>
        <row r="190">
          <cell r="A190" t="str">
            <v>SUZANA VALASKI</v>
          </cell>
          <cell r="G190" t="str">
            <v>suzana.v@pucpr.br</v>
          </cell>
          <cell r="H190" t="str">
            <v>francine.valenga@pucpr.br</v>
          </cell>
        </row>
        <row r="191">
          <cell r="A191" t="str">
            <v>TAILINE LISBOA</v>
          </cell>
          <cell r="G191" t="str">
            <v>tailine.lisboa1@pucpr.br</v>
          </cell>
          <cell r="H191" t="str">
            <v>ericson.pereira@pucpr.br</v>
          </cell>
        </row>
        <row r="192">
          <cell r="A192" t="str">
            <v>TALITA CRISTINA FIDELIS PEREIRA BIAGI</v>
          </cell>
          <cell r="G192" t="str">
            <v>talita.fidelis@pucpr.br</v>
          </cell>
          <cell r="H192" t="str">
            <v>santos.clayton@pucpr.br</v>
          </cell>
        </row>
        <row r="193">
          <cell r="A193" t="str">
            <v>TATIANA VON HERTWIG FERNANDES DE OLIVEIRA KUMER</v>
          </cell>
          <cell r="G193" t="str">
            <v>tatiana.kumer@pucpr.br</v>
          </cell>
          <cell r="H193" t="str">
            <v>camila.giuliani@pucpr.br</v>
          </cell>
        </row>
        <row r="194">
          <cell r="A194" t="str">
            <v>THOMAZ JEFFERSON DE LEMOS PESSOA</v>
          </cell>
          <cell r="G194" t="str">
            <v>thomaz.pessoa@pucpr.br</v>
          </cell>
          <cell r="H194" t="str">
            <v>everdan.carneiro@pucpr.br</v>
          </cell>
        </row>
        <row r="195">
          <cell r="A195" t="str">
            <v>UBALDINO DA ROSA FERREIRA FILHO</v>
          </cell>
          <cell r="G195" t="str">
            <v>ubaldino.filho@pucpr.br</v>
          </cell>
          <cell r="H195" t="str">
            <v>luana.tonin@pucpr.br</v>
          </cell>
        </row>
        <row r="196">
          <cell r="A196" t="str">
            <v>VALTER KLEIN JUNIOR</v>
          </cell>
          <cell r="G196" t="str">
            <v>valter.klein@pucpr.br</v>
          </cell>
          <cell r="H196" t="str">
            <v>valter.klein@pucpr.br</v>
          </cell>
        </row>
        <row r="197">
          <cell r="A197" t="str">
            <v>VANIA APARECIDA TERRA</v>
          </cell>
          <cell r="G197" t="str">
            <v>vania.terra@pucpr.br</v>
          </cell>
          <cell r="H197" t="str">
            <v>luci.castro@pucpr.br</v>
          </cell>
        </row>
        <row r="198">
          <cell r="A198" t="str">
            <v>VICENTE ARTUSO</v>
          </cell>
          <cell r="G198" t="str">
            <v>vicente.artuso@pucpr.br</v>
          </cell>
          <cell r="H198" t="str">
            <v>cesar.leandro@pucpr.br</v>
          </cell>
        </row>
        <row r="199">
          <cell r="A199" t="str">
            <v>VICTOR HENRIQUE ALVES RIBEIRO</v>
          </cell>
          <cell r="G199" t="str">
            <v>victor.hribeiro@pucpr.br</v>
          </cell>
          <cell r="H199" t="str">
            <v>emerson.donaisky@pucpr.br</v>
          </cell>
        </row>
        <row r="200">
          <cell r="A200" t="str">
            <v>VICTOR HORACIO DE SOUZA COSTA JUNIOR</v>
          </cell>
          <cell r="G200" t="str">
            <v>victor.costa@pucpr.br</v>
          </cell>
          <cell r="H200" t="str">
            <v>camila.giuliani@pucpr.br</v>
          </cell>
        </row>
        <row r="201">
          <cell r="A201" t="str">
            <v>VINICIUS ANTONIO HIROAKI SATO</v>
          </cell>
          <cell r="G201" t="str">
            <v>vinicius.sato@pucpr.br</v>
          </cell>
          <cell r="H201" t="str">
            <v>luci.castro@pucpr.br</v>
          </cell>
        </row>
        <row r="202">
          <cell r="A202" t="str">
            <v>VINICIUS ORO POPP</v>
          </cell>
          <cell r="G202" t="str">
            <v>vinicius.popp@pucpr.br</v>
          </cell>
          <cell r="H202" t="str">
            <v>camila.giuliani@pucpr.br</v>
          </cell>
        </row>
        <row r="203">
          <cell r="A203" t="str">
            <v>VITOR LOUREIRO DIAS</v>
          </cell>
          <cell r="G203" t="str">
            <v>vitor.loureiro@pucpr.br</v>
          </cell>
          <cell r="H203" t="str">
            <v>camila.giuliani@pucpr.br</v>
          </cell>
        </row>
        <row r="204">
          <cell r="A204" t="str">
            <v>WALTER BARBOSA BITTAR</v>
          </cell>
          <cell r="G204" t="str">
            <v>walter.bittar@pucpr.br</v>
          </cell>
          <cell r="H204" t="str">
            <v>santos.clayton@pucpr.br</v>
          </cell>
        </row>
        <row r="205">
          <cell r="A205" t="str">
            <v>WILLIAM FRANCO DA SILVA</v>
          </cell>
          <cell r="G205" t="str">
            <v>silva.william@pucpr.br</v>
          </cell>
          <cell r="H205" t="str">
            <v>maria.witt@pucpr.br</v>
          </cell>
        </row>
        <row r="206">
          <cell r="A206" t="str">
            <v>WILLIAN BOSQUETTE ROSA</v>
          </cell>
          <cell r="G206" t="str">
            <v>willian.brosa@pucpr.br</v>
          </cell>
          <cell r="H206" t="str">
            <v>willian.brosa@pucpr.br</v>
          </cell>
        </row>
        <row r="207">
          <cell r="G207" t="e">
            <v>#N/A</v>
          </cell>
          <cell r="H207" t="e">
            <v>#N/A</v>
          </cell>
        </row>
        <row r="208">
          <cell r="G208" t="e">
            <v>#N/A</v>
          </cell>
          <cell r="H208" t="e">
            <v>#N/A</v>
          </cell>
        </row>
        <row r="209">
          <cell r="G209" t="e">
            <v>#N/A</v>
          </cell>
          <cell r="H209" t="e">
            <v>#N/A</v>
          </cell>
        </row>
        <row r="210">
          <cell r="G210" t="e">
            <v>#N/A</v>
          </cell>
          <cell r="H210" t="e">
            <v>#N/A</v>
          </cell>
        </row>
        <row r="211">
          <cell r="G211" t="e">
            <v>#N/A</v>
          </cell>
          <cell r="H211" t="e">
            <v>#N/A</v>
          </cell>
        </row>
        <row r="212">
          <cell r="G212" t="e">
            <v>#N/A</v>
          </cell>
          <cell r="H212" t="e">
            <v>#N/A</v>
          </cell>
        </row>
        <row r="213">
          <cell r="G213" t="e">
            <v>#N/A</v>
          </cell>
          <cell r="H213" t="e">
            <v>#N/A</v>
          </cell>
        </row>
        <row r="214">
          <cell r="G214" t="e">
            <v>#N/A</v>
          </cell>
          <cell r="H214" t="e">
            <v>#N/A</v>
          </cell>
        </row>
        <row r="215">
          <cell r="G215" t="e">
            <v>#N/A</v>
          </cell>
          <cell r="H215" t="e">
            <v>#N/A</v>
          </cell>
        </row>
        <row r="216">
          <cell r="G216" t="e">
            <v>#N/A</v>
          </cell>
          <cell r="H216" t="e">
            <v>#N/A</v>
          </cell>
        </row>
        <row r="217">
          <cell r="G217" t="e">
            <v>#N/A</v>
          </cell>
          <cell r="H217" t="e">
            <v>#N/A</v>
          </cell>
        </row>
        <row r="218">
          <cell r="G218" t="e">
            <v>#N/A</v>
          </cell>
          <cell r="H218" t="e">
            <v>#N/A</v>
          </cell>
        </row>
        <row r="219">
          <cell r="G219" t="e">
            <v>#N/A</v>
          </cell>
          <cell r="H219" t="e">
            <v>#N/A</v>
          </cell>
        </row>
        <row r="220">
          <cell r="G220" t="e">
            <v>#N/A</v>
          </cell>
          <cell r="H220" t="e">
            <v>#N/A</v>
          </cell>
        </row>
        <row r="221">
          <cell r="G221" t="e">
            <v>#N/A</v>
          </cell>
          <cell r="H221" t="e">
            <v>#N/A</v>
          </cell>
        </row>
        <row r="222">
          <cell r="G222" t="e">
            <v>#N/A</v>
          </cell>
          <cell r="H222" t="e">
            <v>#N/A</v>
          </cell>
        </row>
        <row r="223">
          <cell r="G223" t="e">
            <v>#N/A</v>
          </cell>
          <cell r="H223" t="e">
            <v>#N/A</v>
          </cell>
        </row>
        <row r="224">
          <cell r="G224" t="e">
            <v>#N/A</v>
          </cell>
          <cell r="H224" t="e">
            <v>#N/A</v>
          </cell>
        </row>
        <row r="225">
          <cell r="G225" t="e">
            <v>#N/A</v>
          </cell>
          <cell r="H225" t="e">
            <v>#N/A</v>
          </cell>
        </row>
        <row r="226">
          <cell r="G226" t="e">
            <v>#N/A</v>
          </cell>
          <cell r="H226" t="e">
            <v>#N/A</v>
          </cell>
        </row>
        <row r="227">
          <cell r="G227" t="e">
            <v>#N/A</v>
          </cell>
          <cell r="H227" t="e">
            <v>#N/A</v>
          </cell>
        </row>
        <row r="228">
          <cell r="G228" t="e">
            <v>#N/A</v>
          </cell>
          <cell r="H228" t="e">
            <v>#N/A</v>
          </cell>
        </row>
        <row r="229">
          <cell r="G229" t="e">
            <v>#N/A</v>
          </cell>
          <cell r="H229" t="e">
            <v>#N/A</v>
          </cell>
        </row>
        <row r="230">
          <cell r="G230" t="e">
            <v>#N/A</v>
          </cell>
          <cell r="H230" t="e">
            <v>#N/A</v>
          </cell>
        </row>
        <row r="231">
          <cell r="G231" t="e">
            <v>#N/A</v>
          </cell>
          <cell r="H231" t="e">
            <v>#N/A</v>
          </cell>
        </row>
        <row r="232">
          <cell r="G232" t="e">
            <v>#N/A</v>
          </cell>
          <cell r="H232" t="e">
            <v>#N/A</v>
          </cell>
        </row>
        <row r="233">
          <cell r="G233" t="e">
            <v>#N/A</v>
          </cell>
          <cell r="H233" t="e">
            <v>#N/A</v>
          </cell>
        </row>
        <row r="234">
          <cell r="G234" t="e">
            <v>#N/A</v>
          </cell>
          <cell r="H234" t="e">
            <v>#N/A</v>
          </cell>
        </row>
        <row r="235">
          <cell r="G235" t="e">
            <v>#N/A</v>
          </cell>
          <cell r="H235" t="e">
            <v>#N/A</v>
          </cell>
        </row>
        <row r="236">
          <cell r="G236" t="e">
            <v>#N/A</v>
          </cell>
          <cell r="H236" t="e">
            <v>#N/A</v>
          </cell>
        </row>
        <row r="237">
          <cell r="G237" t="e">
            <v>#N/A</v>
          </cell>
          <cell r="H237" t="e">
            <v>#N/A</v>
          </cell>
        </row>
        <row r="238">
          <cell r="G238" t="e">
            <v>#N/A</v>
          </cell>
          <cell r="H238" t="e">
            <v>#N/A</v>
          </cell>
        </row>
        <row r="239">
          <cell r="G239" t="e">
            <v>#N/A</v>
          </cell>
          <cell r="H239" t="e">
            <v>#N/A</v>
          </cell>
        </row>
        <row r="240">
          <cell r="G240" t="e">
            <v>#N/A</v>
          </cell>
          <cell r="H240" t="e">
            <v>#N/A</v>
          </cell>
        </row>
        <row r="241">
          <cell r="G241" t="e">
            <v>#N/A</v>
          </cell>
          <cell r="H241" t="e">
            <v>#N/A</v>
          </cell>
        </row>
        <row r="242">
          <cell r="G242" t="e">
            <v>#N/A</v>
          </cell>
          <cell r="H242" t="e">
            <v>#N/A</v>
          </cell>
        </row>
        <row r="243">
          <cell r="G243" t="e">
            <v>#N/A</v>
          </cell>
          <cell r="H243" t="e">
            <v>#N/A</v>
          </cell>
        </row>
        <row r="244">
          <cell r="G244" t="e">
            <v>#N/A</v>
          </cell>
          <cell r="H244" t="e">
            <v>#N/A</v>
          </cell>
        </row>
        <row r="245">
          <cell r="G245" t="e">
            <v>#N/A</v>
          </cell>
          <cell r="H245" t="e">
            <v>#N/A</v>
          </cell>
        </row>
        <row r="246">
          <cell r="G246" t="e">
            <v>#N/A</v>
          </cell>
          <cell r="H246" t="e">
            <v>#N/A</v>
          </cell>
        </row>
        <row r="247">
          <cell r="G247" t="e">
            <v>#N/A</v>
          </cell>
          <cell r="H247" t="e">
            <v>#N/A</v>
          </cell>
        </row>
        <row r="248">
          <cell r="G248" t="e">
            <v>#N/A</v>
          </cell>
          <cell r="H248" t="e">
            <v>#N/A</v>
          </cell>
        </row>
        <row r="249">
          <cell r="G249" t="e">
            <v>#N/A</v>
          </cell>
          <cell r="H249" t="e">
            <v>#N/A</v>
          </cell>
        </row>
        <row r="250">
          <cell r="G250" t="e">
            <v>#N/A</v>
          </cell>
          <cell r="H250" t="e">
            <v>#N/A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ordenadores"/>
      <sheetName val="Decanos"/>
      <sheetName val="Vinculo"/>
      <sheetName val="Planilha1"/>
    </sheetNames>
    <sheetDataSet>
      <sheetData sheetId="0"/>
      <sheetData sheetId="1"/>
      <sheetData sheetId="2">
        <row r="1">
          <cell r="H1" t="str">
            <v>EMAIL_COORD</v>
          </cell>
          <cell r="L1" t="str">
            <v>EMAIL_DECANO</v>
          </cell>
        </row>
        <row r="2">
          <cell r="H2" t="str">
            <v>adriana.valero@pucpr.br</v>
          </cell>
          <cell r="L2" t="str">
            <v>nadina.moreno@pucpr.br</v>
          </cell>
        </row>
        <row r="3">
          <cell r="H3" t="str">
            <v>adriana.valero@pucpr.br</v>
          </cell>
          <cell r="L3" t="str">
            <v>nadina.moreno@pucpr.br</v>
          </cell>
        </row>
        <row r="4">
          <cell r="H4" t="str">
            <v>aline.cbatista@pucpr.br</v>
          </cell>
          <cell r="L4" t="str">
            <v>j.knopfholz@pucpr.br</v>
          </cell>
        </row>
        <row r="5">
          <cell r="H5" t="str">
            <v>aline.stipp@pucpr.br</v>
          </cell>
          <cell r="L5" t="str">
            <v>nadina.moreno@pucpr.br</v>
          </cell>
        </row>
        <row r="6">
          <cell r="H6" t="str">
            <v>ana.greca@pucpr.br</v>
          </cell>
          <cell r="L6" t="str">
            <v>j.knopfholz@pucpr.br</v>
          </cell>
        </row>
        <row r="7">
          <cell r="H7" t="str">
            <v>ana.greca@pucpr.br</v>
          </cell>
          <cell r="L7" t="str">
            <v>j.knopfholz@pucpr.br</v>
          </cell>
        </row>
        <row r="8">
          <cell r="H8" t="str">
            <v>andre.lorusso@grupomarista.org.br</v>
          </cell>
          <cell r="L8" t="str">
            <v>j.knopfholz@pucpr.br</v>
          </cell>
        </row>
        <row r="9">
          <cell r="H9" t="str">
            <v>andre.lorusso@grupomarista.org.br</v>
          </cell>
          <cell r="L9" t="str">
            <v>j.knopfholz@pucpr.br</v>
          </cell>
        </row>
        <row r="10">
          <cell r="H10" t="str">
            <v>andre.lorusso@grupomarista.org.br</v>
          </cell>
          <cell r="L10" t="str">
            <v>j.knopfholz@pucpr.br</v>
          </cell>
        </row>
        <row r="11">
          <cell r="H11" t="str">
            <v>andre.lorusso@grupomarista.org.br</v>
          </cell>
          <cell r="L11" t="str">
            <v>j.knopfholz@pucpr.br</v>
          </cell>
        </row>
        <row r="12">
          <cell r="H12" t="str">
            <v>andrea.braga@pucpr.br</v>
          </cell>
          <cell r="L12" t="str">
            <v>c.candiotto@pucpr.br</v>
          </cell>
        </row>
        <row r="13">
          <cell r="H13" t="str">
            <v>luz.andreia@pucpr.br</v>
          </cell>
          <cell r="L13" t="str">
            <v>miriam.mazo@pucpr.br</v>
          </cell>
        </row>
        <row r="14">
          <cell r="H14" t="str">
            <v>luz.andreia@pucpr.br</v>
          </cell>
          <cell r="L14" t="str">
            <v>miriam.mazo@pucpr.br</v>
          </cell>
        </row>
        <row r="15">
          <cell r="H15" t="str">
            <v>luz.andreia@pucpr.br</v>
          </cell>
          <cell r="L15" t="str">
            <v>miriam.mazo@pucpr.br</v>
          </cell>
        </row>
        <row r="16">
          <cell r="H16" t="str">
            <v>antonio.kozikoski@pucpr.br</v>
          </cell>
          <cell r="L16" t="str">
            <v>renata.melfi@pucpr.br</v>
          </cell>
        </row>
        <row r="17">
          <cell r="H17" t="str">
            <v>antonio.kozikoski@pucpr.br</v>
          </cell>
          <cell r="L17" t="str">
            <v>renata.melfi@pucpr.br</v>
          </cell>
        </row>
        <row r="18">
          <cell r="H18" t="str">
            <v>bruno.paula@pucpr.br</v>
          </cell>
          <cell r="L18" t="str">
            <v>marco.paludo@pucpr.br</v>
          </cell>
        </row>
        <row r="19">
          <cell r="H19" t="str">
            <v>bruno.paula@pucpr.br</v>
          </cell>
          <cell r="L19" t="str">
            <v>marco.paludo@pucpr.br</v>
          </cell>
        </row>
        <row r="20">
          <cell r="H20" t="str">
            <v>caio.carniatto@pucpr.br</v>
          </cell>
          <cell r="L20" t="str">
            <v>ricardo.lopes@pucpr.br</v>
          </cell>
        </row>
        <row r="21">
          <cell r="H21" t="str">
            <v>camila.giuliani@pucpr.br</v>
          </cell>
          <cell r="L21" t="str">
            <v>j.knopfholz@pucpr.br</v>
          </cell>
        </row>
        <row r="22">
          <cell r="H22" t="str">
            <v>camila.parana@pucpr.br</v>
          </cell>
          <cell r="L22" t="str">
            <v>j.knopfholz@pucpr.br</v>
          </cell>
        </row>
        <row r="23">
          <cell r="H23" t="str">
            <v>caroline.ehlke@pucpr.br</v>
          </cell>
          <cell r="L23" t="str">
            <v>j.knopfholz@pucpr.br</v>
          </cell>
        </row>
        <row r="24">
          <cell r="H24" t="str">
            <v>caroline.rosaneli@pucpr.br</v>
          </cell>
          <cell r="L24" t="str">
            <v>j.knopfholz@pucpr.br</v>
          </cell>
        </row>
        <row r="25">
          <cell r="H25" t="str">
            <v>aparecida.cassia@pucpr.br</v>
          </cell>
          <cell r="L25" t="str">
            <v>j.knopfholz@pucpr.br</v>
          </cell>
        </row>
        <row r="26">
          <cell r="H26" t="str">
            <v>celina.duque@pucpr.br</v>
          </cell>
          <cell r="L26" t="str">
            <v>j.knopfholz@pucpr.br</v>
          </cell>
        </row>
        <row r="27">
          <cell r="H27" t="str">
            <v>cesar.leandro@pucpr.br</v>
          </cell>
          <cell r="L27" t="str">
            <v>c.candiotto@pucpr.br</v>
          </cell>
        </row>
        <row r="28">
          <cell r="H28" t="str">
            <v>santos.clayton@pucpr.br</v>
          </cell>
          <cell r="L28" t="str">
            <v>nadina.moreno@pucpr.br</v>
          </cell>
        </row>
        <row r="29">
          <cell r="H29" t="str">
            <v>cleber.kiel@pucpr.br</v>
          </cell>
          <cell r="L29" t="str">
            <v>marco.paludo@pucpr.br</v>
          </cell>
        </row>
        <row r="30">
          <cell r="H30" t="str">
            <v>cleber.kiel@pucpr.br</v>
          </cell>
          <cell r="L30" t="str">
            <v>marco.paludo@pucpr.br</v>
          </cell>
        </row>
        <row r="31">
          <cell r="H31" t="str">
            <v>cristian.schmidt@pucpr.br</v>
          </cell>
          <cell r="L31" t="str">
            <v>c.candiotto@pucpr.br</v>
          </cell>
        </row>
        <row r="32">
          <cell r="H32" t="str">
            <v>cristian.schmidt@pucpr.br</v>
          </cell>
          <cell r="L32" t="str">
            <v>c.candiotto@pucpr.br</v>
          </cell>
        </row>
        <row r="33">
          <cell r="H33" t="str">
            <v>cristian.schmidt@pucpr.br</v>
          </cell>
          <cell r="L33" t="str">
            <v>c.candiotto@pucpr.br</v>
          </cell>
        </row>
        <row r="34">
          <cell r="H34" t="str">
            <v>cristian.schmidt@pucpr.br</v>
          </cell>
          <cell r="L34" t="str">
            <v>c.candiotto@pucpr.br</v>
          </cell>
        </row>
        <row r="35">
          <cell r="H35" t="str">
            <v>daniele.saheb@pucpr.br</v>
          </cell>
          <cell r="L35" t="str">
            <v>c.candiotto@pucpr.br</v>
          </cell>
        </row>
        <row r="36">
          <cell r="H36" t="str">
            <v>danielle.pamplona@pucpr.br</v>
          </cell>
          <cell r="L36" t="str">
            <v>renata.melfi@pucpr.br</v>
          </cell>
        </row>
        <row r="37">
          <cell r="H37" t="str">
            <v>dani.denes@pucpr.br</v>
          </cell>
          <cell r="L37" t="str">
            <v>miriam.mazo@pucpr.br</v>
          </cell>
        </row>
        <row r="38">
          <cell r="H38" t="str">
            <v>demetria.kmonteiro@pucpr.br</v>
          </cell>
          <cell r="L38" t="str">
            <v>j.knopfholz@pucpr.br</v>
          </cell>
        </row>
        <row r="39">
          <cell r="H39" t="str">
            <v>denner.pereira@pucpr.br</v>
          </cell>
          <cell r="L39" t="str">
            <v>ricardo.lopes@pucpr.br</v>
          </cell>
        </row>
        <row r="40">
          <cell r="H40" t="str">
            <v>edilberto.moura@pucpr.br</v>
          </cell>
          <cell r="L40" t="str">
            <v>j.knopfholz@pucpr.br</v>
          </cell>
        </row>
        <row r="41">
          <cell r="H41" t="str">
            <v>elizabeth.sou@pucpr.br</v>
          </cell>
          <cell r="L41" t="str">
            <v>miriam.mazo@pucpr.br</v>
          </cell>
        </row>
        <row r="42">
          <cell r="H42" t="str">
            <v>elizabeth.sou@pucpr.br</v>
          </cell>
          <cell r="L42" t="str">
            <v>miriam.mazo@pucpr.br</v>
          </cell>
        </row>
        <row r="43">
          <cell r="H43" t="str">
            <v>elizabeth.sou@pucpr.br</v>
          </cell>
          <cell r="L43" t="str">
            <v>miriam.mazo@pucpr.br</v>
          </cell>
        </row>
        <row r="44">
          <cell r="H44" t="str">
            <v>elizabeth.sou@pucpr.br</v>
          </cell>
          <cell r="L44" t="str">
            <v>miriam.mazo@pucpr.br</v>
          </cell>
        </row>
        <row r="45">
          <cell r="H45" t="str">
            <v>eloize.cruz@pucpr.br</v>
          </cell>
          <cell r="L45" t="str">
            <v>j.knopfholz@pucpr.br</v>
          </cell>
        </row>
        <row r="46">
          <cell r="H46" t="str">
            <v>emerson.donaisky@pucpr.br</v>
          </cell>
          <cell r="L46" t="str">
            <v>marco.paludo@pucpr.br</v>
          </cell>
        </row>
        <row r="47">
          <cell r="H47" t="str">
            <v>emerson.donaisky@pucpr.br</v>
          </cell>
          <cell r="L47" t="str">
            <v>marco.paludo@pucpr.br</v>
          </cell>
        </row>
        <row r="48">
          <cell r="H48" t="str">
            <v>erica.natti@pucpr.br</v>
          </cell>
          <cell r="L48" t="str">
            <v>nadina.moreno@pucpr.br</v>
          </cell>
        </row>
        <row r="49">
          <cell r="H49" t="str">
            <v>ericson.pereira@pucpr.br</v>
          </cell>
          <cell r="L49" t="str">
            <v>j.knopfholz@pucpr.br</v>
          </cell>
        </row>
        <row r="50">
          <cell r="H50" t="str">
            <v>ericson.pereira@pucpr.br</v>
          </cell>
          <cell r="L50" t="str">
            <v>j.knopfholz@pucpr.br</v>
          </cell>
        </row>
        <row r="51">
          <cell r="H51" t="str">
            <v>ernesto.sienna@pucpr.br</v>
          </cell>
          <cell r="L51" t="str">
            <v>c.candiotto@pucpr.br</v>
          </cell>
        </row>
        <row r="52">
          <cell r="H52" t="str">
            <v>etiane.caloy@pucpr.br</v>
          </cell>
          <cell r="L52" t="str">
            <v>c.candiotto@pucpr.br</v>
          </cell>
        </row>
        <row r="53">
          <cell r="H53" t="str">
            <v>everdan.carneiro@pucpr.br</v>
          </cell>
          <cell r="L53" t="str">
            <v>j.knopfholz@pucpr.br</v>
          </cell>
        </row>
        <row r="54">
          <cell r="H54" t="str">
            <v>fabiana.osten@grupomarista.org.br</v>
          </cell>
          <cell r="L54" t="str">
            <v>marco.paludo@pucpr.br</v>
          </cell>
        </row>
        <row r="55">
          <cell r="H55" t="str">
            <v>fabiana.osten@grupomarista.org.br</v>
          </cell>
          <cell r="L55" t="str">
            <v>marco.paludo@pucpr.br</v>
          </cell>
        </row>
        <row r="56">
          <cell r="H56" t="str">
            <v>fabiana.escudero@pucpr.br</v>
          </cell>
          <cell r="L56" t="str">
            <v>j.knopfholz@pucpr.br</v>
          </cell>
        </row>
        <row r="57">
          <cell r="H57" t="str">
            <v>fabio.binder@pucpr.br</v>
          </cell>
          <cell r="L57" t="str">
            <v>marco.paludo@pucpr.br</v>
          </cell>
        </row>
        <row r="58">
          <cell r="H58" t="str">
            <v>fabio.binder@pucpr.br</v>
          </cell>
          <cell r="L58" t="str">
            <v>marco.paludo@pucpr.br</v>
          </cell>
        </row>
        <row r="59">
          <cell r="H59" t="str">
            <v>federico.ferraguto@pucpr.br</v>
          </cell>
          <cell r="L59" t="str">
            <v>c.candiotto@pucpr.br</v>
          </cell>
        </row>
        <row r="60">
          <cell r="H60" t="str">
            <v>fernanda.pavesi@pucpr.br</v>
          </cell>
          <cell r="L60" t="str">
            <v>nadina.moreno@pucpr.br</v>
          </cell>
        </row>
        <row r="61">
          <cell r="H61" t="str">
            <v>fernanda.o@pucpr.br</v>
          </cell>
          <cell r="L61" t="str">
            <v>j.knopfholz@pucpr.br</v>
          </cell>
        </row>
        <row r="62">
          <cell r="H62" t="str">
            <v>fernanda.o@pucpr.br</v>
          </cell>
          <cell r="L62" t="str">
            <v>j.knopfholz@pucpr.br</v>
          </cell>
        </row>
        <row r="63">
          <cell r="H63" t="str">
            <v>flavia.auler@pucpr.br</v>
          </cell>
          <cell r="L63" t="str">
            <v>j.knopfholz@pucpr.br</v>
          </cell>
        </row>
        <row r="64">
          <cell r="H64" t="str">
            <v>flavia.kai@pucpr.br</v>
          </cell>
          <cell r="L64" t="str">
            <v>miriam.mazo@pucpr.br</v>
          </cell>
        </row>
        <row r="65">
          <cell r="H65" t="str">
            <v>flavia.kai@pucpr.br</v>
          </cell>
          <cell r="L65" t="str">
            <v>miriam.mazo@pucpr.br</v>
          </cell>
        </row>
        <row r="66">
          <cell r="H66" t="str">
            <v>francieli.mognon@pucpr.br</v>
          </cell>
          <cell r="L66" t="str">
            <v>susanne.borges@pucpr.br</v>
          </cell>
        </row>
        <row r="67">
          <cell r="H67" t="str">
            <v>francieli.mognon@pucpr.br</v>
          </cell>
          <cell r="L67" t="str">
            <v>susanne.borges@pucpr.br</v>
          </cell>
        </row>
        <row r="68">
          <cell r="H68" t="str">
            <v>francine.valenga@pucpr.br</v>
          </cell>
          <cell r="L68" t="str">
            <v>marco.paludo@pucpr.br</v>
          </cell>
        </row>
        <row r="69">
          <cell r="H69" t="str">
            <v>francine.valenga@pucpr.br</v>
          </cell>
          <cell r="L69" t="str">
            <v>marco.paludo@pucpr.br</v>
          </cell>
        </row>
        <row r="70">
          <cell r="H70" t="str">
            <v>francine.valenga@pucpr.br</v>
          </cell>
          <cell r="L70" t="str">
            <v>marco.paludo@pucpr.br</v>
          </cell>
        </row>
        <row r="71">
          <cell r="H71" t="str">
            <v>francine.valenga@pucpr.br</v>
          </cell>
          <cell r="L71" t="str">
            <v>marco.paludo@pucpr.br</v>
          </cell>
        </row>
        <row r="72">
          <cell r="H72" t="str">
            <v>francine.valenga@pucpr.br</v>
          </cell>
          <cell r="L72" t="str">
            <v>marco.paludo@pucpr.br</v>
          </cell>
        </row>
        <row r="73">
          <cell r="H73" t="str">
            <v>francine.valenga@pucpr.br</v>
          </cell>
          <cell r="L73" t="str">
            <v>marco.paludo@pucpr.br</v>
          </cell>
        </row>
        <row r="74">
          <cell r="H74" t="str">
            <v>fred.amorim@pucpr.br</v>
          </cell>
          <cell r="L74" t="str">
            <v>marco.paludo@pucpr.br</v>
          </cell>
        </row>
        <row r="75">
          <cell r="H75" t="str">
            <v>gabriela.veiga@pucpr.br</v>
          </cell>
          <cell r="L75" t="str">
            <v>marco.paludo@pucpr.br</v>
          </cell>
        </row>
        <row r="76">
          <cell r="H76" t="str">
            <v>geovani.moretto@pucpr.br</v>
          </cell>
          <cell r="L76" t="str">
            <v>c.candiotto@pucpr.br</v>
          </cell>
        </row>
        <row r="77">
          <cell r="H77" t="str">
            <v>geovani.moretto@pucpr.br</v>
          </cell>
          <cell r="L77" t="str">
            <v>c.candiotto@pucpr.br</v>
          </cell>
        </row>
        <row r="78">
          <cell r="H78" t="str">
            <v>geovani.moretto@pucpr.br</v>
          </cell>
          <cell r="L78" t="str">
            <v>c.candiotto@pucpr.br</v>
          </cell>
        </row>
        <row r="79">
          <cell r="H79" t="str">
            <v>guilherme.rodolfo@pucpr.br</v>
          </cell>
          <cell r="L79" t="str">
            <v>renata.melfi@pucpr.br</v>
          </cell>
        </row>
        <row r="80">
          <cell r="H80" t="str">
            <v>gustavo.grander@pucpr.br</v>
          </cell>
          <cell r="L80" t="str">
            <v>ricardo.lopes@pucpr.br</v>
          </cell>
        </row>
        <row r="81">
          <cell r="H81" t="str">
            <v>gustavo.grander@pucpr.br</v>
          </cell>
          <cell r="L81" t="str">
            <v>ricardo.lopes@pucpr.br</v>
          </cell>
        </row>
        <row r="82">
          <cell r="H82" t="str">
            <v>gustavo.grander@pucpr.br</v>
          </cell>
          <cell r="L82" t="str">
            <v>ricardo.lopes@pucpr.br</v>
          </cell>
        </row>
        <row r="83">
          <cell r="H83" t="str">
            <v>hugo.amaro@pucpr.br</v>
          </cell>
          <cell r="L83" t="str">
            <v>miriam.mazo@pucpr.br</v>
          </cell>
        </row>
        <row r="84">
          <cell r="H84" t="str">
            <v>humberto.medeiros@pucpr.br</v>
          </cell>
          <cell r="L84" t="str">
            <v>susanne.borges@pucpr.br</v>
          </cell>
        </row>
        <row r="85">
          <cell r="H85" t="str">
            <v>inara.prochnau@pucpr.br</v>
          </cell>
          <cell r="L85" t="str">
            <v>ricardo.lopes@pucpr.br</v>
          </cell>
        </row>
        <row r="86">
          <cell r="H86" t="str">
            <v>jackson.bittencourt@pucpr.br</v>
          </cell>
          <cell r="L86" t="str">
            <v>miriam.mazo@pucpr.br</v>
          </cell>
        </row>
        <row r="87">
          <cell r="H87" t="str">
            <v>paul.jean@pucpr.br</v>
          </cell>
          <cell r="L87" t="str">
            <v>marco.paludo@pucpr.br</v>
          </cell>
        </row>
        <row r="88">
          <cell r="H88" t="str">
            <v>jean.tafarel@pucpr.br</v>
          </cell>
          <cell r="L88" t="str">
            <v>j.knopfholz@pucpr.br</v>
          </cell>
        </row>
        <row r="89">
          <cell r="H89" t="str">
            <v>joice.tomaschitz@pucpr.br</v>
          </cell>
          <cell r="L89" t="str">
            <v>marco.paludo@pucpr.br</v>
          </cell>
        </row>
        <row r="90">
          <cell r="H90" t="str">
            <v>joice.tomaschitz@pucpr.br</v>
          </cell>
          <cell r="L90" t="str">
            <v>marco.paludo@pucpr.br</v>
          </cell>
        </row>
        <row r="91">
          <cell r="H91" t="str">
            <v>joice.tomaschitz@pucpr.br</v>
          </cell>
          <cell r="L91" t="str">
            <v>marco.paludo@pucpr.br</v>
          </cell>
        </row>
        <row r="92">
          <cell r="H92" t="str">
            <v>joice.tomaschitz@pucpr.br</v>
          </cell>
          <cell r="L92" t="str">
            <v>marco.paludo@pucpr.br</v>
          </cell>
        </row>
        <row r="93">
          <cell r="H93" t="str">
            <v>eduardo.lino@pucpr.br</v>
          </cell>
          <cell r="L93" t="str">
            <v>marco.paludo@pucpr.br</v>
          </cell>
        </row>
        <row r="94">
          <cell r="H94" t="str">
            <v>jose.duran@pucpr.br</v>
          </cell>
          <cell r="L94" t="str">
            <v>nadina.moreno@pucpr.br</v>
          </cell>
        </row>
        <row r="95">
          <cell r="H95" t="str">
            <v>jose.faria@pucpr.br</v>
          </cell>
          <cell r="L95" t="str">
            <v>j.knopfholz@pucpr.br</v>
          </cell>
        </row>
        <row r="96">
          <cell r="H96" t="str">
            <v>joselaine.valaski@pucpr.br</v>
          </cell>
          <cell r="L96" t="str">
            <v>marco.paludo@pucpr.br</v>
          </cell>
        </row>
        <row r="97">
          <cell r="H97" t="str">
            <v>joselaine.valaski@pucpr.br</v>
          </cell>
          <cell r="L97" t="str">
            <v>marco.paludo@pucpr.br</v>
          </cell>
        </row>
        <row r="98">
          <cell r="H98" t="str">
            <v>joselaine.valaski@pucpr.br</v>
          </cell>
          <cell r="L98" t="str">
            <v>marco.paludo@pucpr.br</v>
          </cell>
        </row>
        <row r="99">
          <cell r="H99" t="str">
            <v>joselaine.valaski@pucpr.br</v>
          </cell>
          <cell r="L99" t="str">
            <v>marco.paludo@pucpr.br</v>
          </cell>
        </row>
        <row r="100">
          <cell r="H100" t="str">
            <v>joselia.ribeiro@grupomarista.org.br</v>
          </cell>
          <cell r="L100" t="str">
            <v>c.candiotto@pucpr.br</v>
          </cell>
        </row>
        <row r="101">
          <cell r="H101" t="str">
            <v>joselia.ribeiro@grupomarista.org.br</v>
          </cell>
          <cell r="L101" t="str">
            <v>c.candiotto@pucpr.br</v>
          </cell>
        </row>
        <row r="102">
          <cell r="H102" t="str">
            <v>juliana.noschang@pucpr.br</v>
          </cell>
          <cell r="L102" t="str">
            <v>miriam.mazo@pucpr.br</v>
          </cell>
        </row>
        <row r="103">
          <cell r="H103" t="str">
            <v>juliana.noschang@pucpr.br</v>
          </cell>
          <cell r="L103" t="str">
            <v>miriam.mazo@pucpr.br</v>
          </cell>
        </row>
        <row r="104">
          <cell r="H104" t="str">
            <v>juliana.noschang@pucpr.br</v>
          </cell>
          <cell r="L104" t="str">
            <v>miriam.mazo@pucpr.br</v>
          </cell>
        </row>
        <row r="105">
          <cell r="H105" t="str">
            <v>karen.kubo@pucpr.br</v>
          </cell>
          <cell r="L105" t="str">
            <v>j.knopfholz@pucpr.br</v>
          </cell>
        </row>
        <row r="106">
          <cell r="H106" t="str">
            <v>karina.magatao@pucpr.br</v>
          </cell>
          <cell r="L106" t="str">
            <v>renata.melfi@pucpr.br</v>
          </cell>
        </row>
        <row r="107">
          <cell r="H107" t="str">
            <v>katia.esteves@pucpr.br</v>
          </cell>
          <cell r="L107" t="str">
            <v>c.candiotto@pucpr.br</v>
          </cell>
        </row>
        <row r="108">
          <cell r="H108" t="str">
            <v>kelly.rafaela@pucpr.br</v>
          </cell>
          <cell r="L108" t="str">
            <v>marco.paludo@pucpr.br</v>
          </cell>
        </row>
        <row r="109">
          <cell r="H109" t="str">
            <v>leonardo.cavalheiro@pucpr.br</v>
          </cell>
          <cell r="L109" t="str">
            <v>marco.paludo@pucpr.br</v>
          </cell>
        </row>
        <row r="110">
          <cell r="H110" t="str">
            <v>leonardo.goncalves@pucpr.br</v>
          </cell>
          <cell r="L110" t="str">
            <v>susanne.borges@pucpr.br</v>
          </cell>
        </row>
        <row r="111">
          <cell r="H111" t="str">
            <v>l.kava@pucpr.br</v>
          </cell>
          <cell r="L111" t="str">
            <v>miriam.mazo@pucpr.br</v>
          </cell>
        </row>
        <row r="112">
          <cell r="H112" t="str">
            <v>luana.tonin@pucpr.br</v>
          </cell>
          <cell r="L112" t="str">
            <v>j.knopfholz@pucpr.br</v>
          </cell>
        </row>
        <row r="113">
          <cell r="H113" t="str">
            <v>emanuel.lucas@pucpr.br</v>
          </cell>
          <cell r="L113" t="str">
            <v>marco.paludo@pucpr.br</v>
          </cell>
        </row>
        <row r="114">
          <cell r="H114" t="str">
            <v>luci.castro@pucpr.br</v>
          </cell>
          <cell r="L114" t="str">
            <v>nadina.moreno@pucpr.br</v>
          </cell>
        </row>
        <row r="115">
          <cell r="H115" t="str">
            <v>luis.kasprzak@pucpr.br</v>
          </cell>
          <cell r="L115" t="str">
            <v>susanne.borges@pucpr.br</v>
          </cell>
        </row>
        <row r="116">
          <cell r="H116" t="str">
            <v>mr.garcia@pucpr.br</v>
          </cell>
          <cell r="L116" t="str">
            <v>nadina.moreno@pucpr.br</v>
          </cell>
        </row>
        <row r="117">
          <cell r="H117" t="str">
            <v>maria.witt@pucpr.br</v>
          </cell>
          <cell r="L117" t="str">
            <v>c.candiotto@pucpr.br</v>
          </cell>
        </row>
        <row r="118">
          <cell r="H118" t="str">
            <v>maria.witt@pucpr.br</v>
          </cell>
          <cell r="L118" t="str">
            <v>c.candiotto@pucpr.br</v>
          </cell>
        </row>
        <row r="119">
          <cell r="H119" t="str">
            <v>maria.pilla@pucpr.br</v>
          </cell>
          <cell r="L119" t="str">
            <v>c.candiotto@pucpr.br</v>
          </cell>
        </row>
        <row r="120">
          <cell r="H120" t="str">
            <v>evandro.nava@pucpr.br</v>
          </cell>
          <cell r="L120" t="str">
            <v>ricardo.lopes@pucpr.br</v>
          </cell>
        </row>
        <row r="121">
          <cell r="H121" t="str">
            <v>evandro.nava@pucpr.br</v>
          </cell>
          <cell r="L121" t="str">
            <v>ricardo.lopes@pucpr.br</v>
          </cell>
        </row>
        <row r="122">
          <cell r="H122" t="str">
            <v>maxiliano.ribeiro@pucpr.br</v>
          </cell>
          <cell r="L122" t="str">
            <v>miriam.mazo@pucpr.br</v>
          </cell>
        </row>
        <row r="123">
          <cell r="H123" t="str">
            <v>maxiliano.ribeiro@pucpr.br</v>
          </cell>
          <cell r="L123" t="str">
            <v>miriam.mazo@pucpr.br</v>
          </cell>
        </row>
        <row r="124">
          <cell r="H124" t="str">
            <v>maxiliano.ribeiro@pucpr.br</v>
          </cell>
          <cell r="L124" t="str">
            <v>miriam.mazo@pucpr.br</v>
          </cell>
        </row>
        <row r="125">
          <cell r="H125" t="str">
            <v>nadina.moreno@pucpr.br</v>
          </cell>
          <cell r="L125" t="str">
            <v>nadina.moreno@pucpr.br</v>
          </cell>
        </row>
        <row r="126">
          <cell r="H126" t="str">
            <v>nadina.moreno@pucpr.br</v>
          </cell>
          <cell r="L126" t="str">
            <v>nadina.moreno@pucpr.br</v>
          </cell>
        </row>
        <row r="127">
          <cell r="H127" t="str">
            <v>osiris.canciglieri@pucpr.br</v>
          </cell>
          <cell r="L127" t="str">
            <v>marco.paludo@pucpr.br</v>
          </cell>
        </row>
        <row r="128">
          <cell r="H128" t="str">
            <v>patricia.lupion@pucpr.br</v>
          </cell>
          <cell r="L128" t="str">
            <v>c.candiotto@pucpr.br</v>
          </cell>
        </row>
        <row r="129">
          <cell r="H129" t="str">
            <v>patricia.toliveira@pucpr.br</v>
          </cell>
          <cell r="L129" t="str">
            <v>miriam.mazo@pucpr.br</v>
          </cell>
        </row>
        <row r="130">
          <cell r="H130" t="str">
            <v>paulo.tanizawa@pucpr.br</v>
          </cell>
          <cell r="L130" t="str">
            <v>nadina.moreno@pucpr.br</v>
          </cell>
        </row>
        <row r="131">
          <cell r="H131" t="str">
            <v>paulo.neto@pucpr.br</v>
          </cell>
          <cell r="L131" t="str">
            <v>susanne.borges@pucpr.br</v>
          </cell>
        </row>
        <row r="132">
          <cell r="H132" t="str">
            <v>paulo.bignardi@pucpr.br</v>
          </cell>
          <cell r="L132" t="str">
            <v>nadina.moreno@pucpr.br</v>
          </cell>
        </row>
        <row r="133">
          <cell r="H133" t="str">
            <v>paulo.camargo@grupomarista.org.br</v>
          </cell>
          <cell r="L133" t="str">
            <v>susanne.borges@pucpr.br</v>
          </cell>
        </row>
        <row r="134">
          <cell r="H134" t="str">
            <v>paulo.camargo@grupomarista.org.br</v>
          </cell>
          <cell r="L134" t="str">
            <v>susanne.borges@pucpr.br</v>
          </cell>
        </row>
        <row r="135">
          <cell r="H135" t="str">
            <v>paulo.camargo@grupomarista.org.br</v>
          </cell>
          <cell r="L135" t="str">
            <v>susanne.borges@pucpr.br</v>
          </cell>
        </row>
        <row r="136">
          <cell r="H136" t="str">
            <v>percy.nohama@pucpr.br</v>
          </cell>
          <cell r="L136" t="str">
            <v>marco.paludo@pucpr.br</v>
          </cell>
        </row>
        <row r="137">
          <cell r="H137" t="str">
            <v>priscila.praxedes@grupomarista.org.br</v>
          </cell>
          <cell r="L137" t="str">
            <v>marco.paludo@pucpr.br</v>
          </cell>
        </row>
        <row r="138">
          <cell r="H138" t="str">
            <v>priscila.praxedes@grupomarista.org.br</v>
          </cell>
          <cell r="L138" t="str">
            <v>marco.paludo@pucpr.br</v>
          </cell>
        </row>
        <row r="139">
          <cell r="H139" t="str">
            <v>regina.fabia@pucpr.br</v>
          </cell>
          <cell r="L139" t="str">
            <v>marco.paludo@pucpr.br</v>
          </cell>
        </row>
        <row r="140">
          <cell r="H140" t="str">
            <v>araujo.regina@pucpr.br</v>
          </cell>
          <cell r="L140" t="str">
            <v>susanne.borges@pucpr.br</v>
          </cell>
        </row>
        <row r="141">
          <cell r="H141" t="str">
            <v>ricardo.nabhen@pucpr.br</v>
          </cell>
          <cell r="L141" t="str">
            <v>marco.paludo@pucpr.br</v>
          </cell>
        </row>
        <row r="142">
          <cell r="H142" t="str">
            <v>ricardo.nabhen@pucpr.br</v>
          </cell>
          <cell r="L142" t="str">
            <v>marco.paludo@pucpr.br</v>
          </cell>
        </row>
        <row r="143">
          <cell r="H143" t="str">
            <v>ricardo.nabhen@pucpr.br</v>
          </cell>
          <cell r="L143" t="str">
            <v>marco.paludo@pucpr.br</v>
          </cell>
        </row>
        <row r="144">
          <cell r="H144" t="str">
            <v>r.rached@pucpr.br</v>
          </cell>
          <cell r="L144" t="str">
            <v>j.knopfholz@pucpr.br</v>
          </cell>
        </row>
        <row r="145">
          <cell r="H145" t="str">
            <v>rogerio.llima@pucpr.br</v>
          </cell>
          <cell r="L145" t="str">
            <v>nadina.moreno@pucpr.br</v>
          </cell>
        </row>
        <row r="146">
          <cell r="H146" t="str">
            <v>r.daros@pucpr.br</v>
          </cell>
          <cell r="L146" t="str">
            <v>j.knopfholz@pucpr.br</v>
          </cell>
        </row>
        <row r="147">
          <cell r="H147" t="str">
            <v>ronaldo.alves@pucpr.br</v>
          </cell>
          <cell r="L147" t="str">
            <v>ricardo.lopes@pucpr.br</v>
          </cell>
        </row>
        <row r="148">
          <cell r="H148" t="str">
            <v>rudolf.sinner@pucpr.br</v>
          </cell>
          <cell r="L148" t="str">
            <v>c.candiotto@pucpr.br</v>
          </cell>
        </row>
        <row r="149">
          <cell r="H149" t="str">
            <v>silvana.hastreiter@pucpr.br</v>
          </cell>
          <cell r="L149" t="str">
            <v>miriam.mazo@pucpr.br</v>
          </cell>
        </row>
        <row r="150">
          <cell r="H150" t="str">
            <v>suyanne.souza@pucpr.br</v>
          </cell>
          <cell r="L150" t="str">
            <v>susanne.borges@pucpr.br</v>
          </cell>
        </row>
        <row r="151">
          <cell r="H151" t="str">
            <v>suyanne.souza@pucpr.br</v>
          </cell>
          <cell r="L151" t="str">
            <v>susanne.borges@pucpr.br</v>
          </cell>
        </row>
        <row r="152">
          <cell r="H152" t="str">
            <v>thiago.kaspchak@pucpr.br</v>
          </cell>
          <cell r="L152" t="str">
            <v>renata.melfi@pucpr.br</v>
          </cell>
        </row>
        <row r="153">
          <cell r="H153" t="str">
            <v>valeria.natascha@pucpr.br</v>
          </cell>
          <cell r="L153" t="str">
            <v>j.knopfholz@pucpr.br</v>
          </cell>
        </row>
        <row r="154">
          <cell r="H154" t="str">
            <v>valter.klein@pucpr.br</v>
          </cell>
          <cell r="L154" t="str">
            <v>marco.paludo@pucpr.br</v>
          </cell>
        </row>
        <row r="155">
          <cell r="H155" t="str">
            <v>vanessa.sales@pucpr.br</v>
          </cell>
          <cell r="L155" t="str">
            <v>miriam.mazo@pucpr.br</v>
          </cell>
        </row>
        <row r="156">
          <cell r="H156" t="str">
            <v>vanessa.sales@pucpr.br</v>
          </cell>
          <cell r="L156" t="str">
            <v>miriam.mazo@pucpr.br</v>
          </cell>
        </row>
        <row r="157">
          <cell r="H157" t="str">
            <v>vanessa.sales@pucpr.br</v>
          </cell>
          <cell r="L157" t="str">
            <v>miriam.mazo@pucpr.br</v>
          </cell>
        </row>
        <row r="158">
          <cell r="H158" t="str">
            <v>vanessa.sales@pucpr.br</v>
          </cell>
          <cell r="L158" t="str">
            <v>miriam.mazo@pucpr.br</v>
          </cell>
        </row>
        <row r="159">
          <cell r="H159" t="str">
            <v>willian.brosa@pucpr.br</v>
          </cell>
          <cell r="L159" t="str">
            <v>ricardo.lopes@pucpr.br</v>
          </cell>
        </row>
        <row r="160">
          <cell r="H160" t="str">
            <v>ricardo.lopes@pucpr.br</v>
          </cell>
          <cell r="L160" t="str">
            <v>ricardo.lopes@pucpr.br</v>
          </cell>
        </row>
        <row r="161">
          <cell r="H161" t="str">
            <v>ricardo.lopes@pucpr.br</v>
          </cell>
          <cell r="L161" t="str">
            <v>ricardo.lopes@pucpr.br</v>
          </cell>
        </row>
        <row r="162">
          <cell r="H162" t="str">
            <v>ricardo.lopes@pucpr.br</v>
          </cell>
          <cell r="L162" t="str">
            <v>ricardo.lopes@pucpr.br</v>
          </cell>
        </row>
        <row r="163">
          <cell r="H163" t="str">
            <v>ricardo.lopes@pucpr.br</v>
          </cell>
          <cell r="L163" t="str">
            <v>ricardo.lopes@pucpr.br</v>
          </cell>
        </row>
        <row r="164">
          <cell r="H164" t="str">
            <v>ricardo.lopes@pucpr.br</v>
          </cell>
          <cell r="L164" t="str">
            <v>ricardo.lopes@pucpr.br</v>
          </cell>
        </row>
        <row r="165">
          <cell r="H165" t="str">
            <v>ricardo.lopes@pucpr.br</v>
          </cell>
          <cell r="L165" t="str">
            <v>ricardo.lopes@pucpr.br</v>
          </cell>
        </row>
        <row r="166">
          <cell r="H166" t="str">
            <v>ricardo.lopes@pucpr.br</v>
          </cell>
          <cell r="L166" t="str">
            <v>ricardo.lopes@pucpr.br</v>
          </cell>
        </row>
        <row r="167">
          <cell r="H167" t="str">
            <v>ricardo.lopes@pucpr.br</v>
          </cell>
          <cell r="L167" t="str">
            <v>ricardo.lopes@pucpr.br</v>
          </cell>
        </row>
        <row r="168">
          <cell r="H168" t="str">
            <v>fernanda.fsilva@pucpr.br</v>
          </cell>
          <cell r="L168" t="str">
            <v>miriam.mazo@pucpr.br</v>
          </cell>
        </row>
        <row r="169">
          <cell r="H169" t="str">
            <v>renan.colombo@pucpr.br</v>
          </cell>
          <cell r="L169" t="str">
            <v>susanne.borges@pucpr.br</v>
          </cell>
        </row>
        <row r="170">
          <cell r="H170" t="str">
            <v>renan.colombo@pucpr.br</v>
          </cell>
          <cell r="L170" t="str">
            <v>susanne.borges@pucpr.br</v>
          </cell>
        </row>
        <row r="171">
          <cell r="H171" t="str">
            <v>jeferson.thauny@pucpr.br</v>
          </cell>
          <cell r="L171" t="str">
            <v>susanne.borges@pucpr.br</v>
          </cell>
        </row>
        <row r="172">
          <cell r="H172" t="str">
            <v>jeferson.thauny@pucpr.br</v>
          </cell>
          <cell r="L172" t="str">
            <v>susanne.borges@pucpr.br</v>
          </cell>
        </row>
        <row r="173">
          <cell r="H173" t="str">
            <v>ana.procha@pucpr.br</v>
          </cell>
          <cell r="L173" t="str">
            <v>susanne.borges@pucpr.br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F206"/>
  <sheetViews>
    <sheetView workbookViewId="0">
      <selection activeCell="F40" sqref="F40:F206"/>
    </sheetView>
  </sheetViews>
  <sheetFormatPr defaultRowHeight="15" x14ac:dyDescent="0.25"/>
  <cols>
    <col min="2" max="2" width="50" customWidth="1"/>
    <col min="3" max="3" width="41.85546875" bestFit="1" customWidth="1"/>
    <col min="4" max="4" width="36.28515625" bestFit="1" customWidth="1"/>
    <col min="5" max="5" width="12.42578125" bestFit="1" customWidth="1"/>
    <col min="6" max="6" width="23.5703125" bestFit="1" customWidth="1"/>
  </cols>
  <sheetData>
    <row r="1" spans="1:6" x14ac:dyDescent="0.25">
      <c r="A1" t="s">
        <v>0</v>
      </c>
      <c r="B1" t="s">
        <v>1</v>
      </c>
      <c r="C1" t="s">
        <v>207</v>
      </c>
      <c r="D1" t="s">
        <v>208</v>
      </c>
      <c r="E1" t="s">
        <v>209</v>
      </c>
      <c r="F1" t="s">
        <v>210</v>
      </c>
    </row>
    <row r="2" spans="1:6" hidden="1" x14ac:dyDescent="0.25">
      <c r="A2">
        <v>1</v>
      </c>
      <c r="B2" t="s">
        <v>2</v>
      </c>
      <c r="C2" t="str">
        <f>_xlfn.XLOOKUP(B2,[1]Pendentes!$A:$A,[1]Pendentes!$G:$G,"-",0,1)</f>
        <v>adriana.mocelim@pucpr.br</v>
      </c>
      <c r="D2" t="str">
        <f>_xlfn.XLOOKUP(B2,[1]Pendentes!$A:$A,[1]Pendentes!$H:$H,"-",0,1)</f>
        <v>etiane.caloy@pucpr.br</v>
      </c>
      <c r="E2" t="b">
        <f>D2=C2</f>
        <v>0</v>
      </c>
      <c r="F2" t="str">
        <f>_xlfn.XLOOKUP(C2,[2]Vinculo!$H:$H,[2]Vinculo!$L:$L,"-",0,1)</f>
        <v>-</v>
      </c>
    </row>
    <row r="3" spans="1:6" hidden="1" x14ac:dyDescent="0.25">
      <c r="A3">
        <v>2</v>
      </c>
      <c r="B3" t="s">
        <v>3</v>
      </c>
      <c r="C3" t="str">
        <f>_xlfn.XLOOKUP(B3,[1]Pendentes!$A:$A,[1]Pendentes!$G:$G,"-",0,1)</f>
        <v>adriano.hino@pucpr.br</v>
      </c>
      <c r="D3" t="str">
        <f>_xlfn.XLOOKUP(B3,[1]Pendentes!$A:$A,[1]Pendentes!$H:$H,"-",0,1)</f>
        <v>ericson.pereira@pucpr.br</v>
      </c>
      <c r="E3" t="b">
        <f t="shared" ref="E3:E66" si="0">D3=C3</f>
        <v>0</v>
      </c>
      <c r="F3" t="str">
        <f>_xlfn.XLOOKUP(C3,[2]Vinculo!$H:$H,[2]Vinculo!$L:$L,"-",0,1)</f>
        <v>-</v>
      </c>
    </row>
    <row r="4" spans="1:6" hidden="1" x14ac:dyDescent="0.25">
      <c r="A4">
        <v>3</v>
      </c>
      <c r="B4" t="s">
        <v>4</v>
      </c>
      <c r="C4" t="str">
        <f>_xlfn.XLOOKUP(B4,[1]Pendentes!$A:$A,[1]Pendentes!$G:$G,"-",0,1)</f>
        <v>afonso.miguel@pucpr.br</v>
      </c>
      <c r="D4" t="str">
        <f>_xlfn.XLOOKUP(B4,[1]Pendentes!$A:$A,[1]Pendentes!$H:$H,"-",0,1)</f>
        <v>valter.klein@pucpr.br</v>
      </c>
      <c r="E4" t="b">
        <f t="shared" si="0"/>
        <v>0</v>
      </c>
      <c r="F4" t="str">
        <f>_xlfn.XLOOKUP(C4,[2]Vinculo!$H:$H,[2]Vinculo!$L:$L,"-",0,1)</f>
        <v>-</v>
      </c>
    </row>
    <row r="5" spans="1:6" hidden="1" x14ac:dyDescent="0.25">
      <c r="A5">
        <v>4</v>
      </c>
      <c r="B5" t="s">
        <v>5</v>
      </c>
      <c r="C5" t="str">
        <f>_xlfn.XLOOKUP(B5,[1]Pendentes!$A:$A,[1]Pendentes!$G:$G,"-",0,1)</f>
        <v>airton.trento@pucpr.br</v>
      </c>
      <c r="D5" t="str">
        <f>_xlfn.XLOOKUP(B5,[1]Pendentes!$A:$A,[1]Pendentes!$H:$H,"-",0,1)</f>
        <v>ronaldo.alves@pucpr.br</v>
      </c>
      <c r="E5" t="b">
        <f t="shared" si="0"/>
        <v>0</v>
      </c>
      <c r="F5" t="str">
        <f>_xlfn.XLOOKUP(C5,[2]Vinculo!$H:$H,[2]Vinculo!$L:$L,"-",0,1)</f>
        <v>-</v>
      </c>
    </row>
    <row r="6" spans="1:6" hidden="1" x14ac:dyDescent="0.25">
      <c r="A6">
        <v>5</v>
      </c>
      <c r="B6" t="s">
        <v>6</v>
      </c>
      <c r="C6" t="str">
        <f>_xlfn.XLOOKUP(B6,[1]Pendentes!$A:$A,[1]Pendentes!$G:$G,"-",0,1)</f>
        <v>alceu.junior@pucpr.br</v>
      </c>
      <c r="D6" t="str">
        <f>_xlfn.XLOOKUP(B6,[1]Pendentes!$A:$A,[1]Pendentes!$H:$H,"-",0,1)</f>
        <v>eduardo.lino@pucpr.br</v>
      </c>
      <c r="E6" t="b">
        <f t="shared" si="0"/>
        <v>0</v>
      </c>
      <c r="F6" t="str">
        <f>_xlfn.XLOOKUP(C6,[2]Vinculo!$H:$H,[2]Vinculo!$L:$L,"-",0,1)</f>
        <v>-</v>
      </c>
    </row>
    <row r="7" spans="1:6" hidden="1" x14ac:dyDescent="0.25">
      <c r="A7">
        <v>6</v>
      </c>
      <c r="B7" t="s">
        <v>7</v>
      </c>
      <c r="C7" t="str">
        <f>_xlfn.XLOOKUP(B7,[1]Pendentes!$A:$A,[1]Pendentes!$G:$G,"-",0,1)</f>
        <v>alexandra.ribeiro@pucpr.br</v>
      </c>
      <c r="D7" t="str">
        <f>_xlfn.XLOOKUP(B7,[1]Pendentes!$A:$A,[1]Pendentes!$H:$H,"-",0,1)</f>
        <v>etiane.caloy@pucpr.br</v>
      </c>
      <c r="E7" t="b">
        <f t="shared" si="0"/>
        <v>0</v>
      </c>
      <c r="F7" t="str">
        <f>_xlfn.XLOOKUP(C7,[2]Vinculo!$H:$H,[2]Vinculo!$L:$L,"-",0,1)</f>
        <v>-</v>
      </c>
    </row>
    <row r="8" spans="1:6" hidden="1" x14ac:dyDescent="0.25">
      <c r="A8">
        <v>7</v>
      </c>
      <c r="B8" t="s">
        <v>8</v>
      </c>
      <c r="C8" t="str">
        <f>_xlfn.XLOOKUP(B8,[1]Pendentes!$A:$A,[1]Pendentes!$G:$G,"-",0,1)</f>
        <v>alexandre.luis@pucpr.br</v>
      </c>
      <c r="D8" t="str">
        <f>_xlfn.XLOOKUP(B8,[1]Pendentes!$A:$A,[1]Pendentes!$H:$H,"-",0,1)</f>
        <v>willian.brosa@pucpr.br</v>
      </c>
      <c r="E8" t="b">
        <f t="shared" si="0"/>
        <v>0</v>
      </c>
      <c r="F8" t="str">
        <f>_xlfn.XLOOKUP(C8,[2]Vinculo!$H:$H,[2]Vinculo!$L:$L,"-",0,1)</f>
        <v>-</v>
      </c>
    </row>
    <row r="9" spans="1:6" hidden="1" x14ac:dyDescent="0.25">
      <c r="A9">
        <v>8</v>
      </c>
      <c r="B9" t="s">
        <v>9</v>
      </c>
      <c r="C9" t="str">
        <f>_xlfn.XLOOKUP(B9,[1]Pendentes!$A:$A,[1]Pendentes!$G:$G,"-",0,1)</f>
        <v>vaneli.aline@pucpr.br</v>
      </c>
      <c r="D9" t="str">
        <f>_xlfn.XLOOKUP(B9,[1]Pendentes!$A:$A,[1]Pendentes!$H:$H,"-",0,1)</f>
        <v>ronaldo.alves@pucpr.br</v>
      </c>
      <c r="E9" t="b">
        <f t="shared" si="0"/>
        <v>0</v>
      </c>
      <c r="F9" t="str">
        <f>_xlfn.XLOOKUP(C9,[2]Vinculo!$H:$H,[2]Vinculo!$L:$L,"-",0,1)</f>
        <v>-</v>
      </c>
    </row>
    <row r="10" spans="1:6" hidden="1" x14ac:dyDescent="0.25">
      <c r="A10">
        <v>9</v>
      </c>
      <c r="B10" t="s">
        <v>10</v>
      </c>
      <c r="C10" t="str">
        <f>_xlfn.XLOOKUP(B10,[1]Pendentes!$A:$A,[1]Pendentes!$G:$G,"-",0,1)</f>
        <v>altair.santin@pucpr.br</v>
      </c>
      <c r="D10" t="str">
        <f>_xlfn.XLOOKUP(B10,[1]Pendentes!$A:$A,[1]Pendentes!$H:$H,"-",0,1)</f>
        <v>eduardo.lino@pucpr.br</v>
      </c>
      <c r="E10" t="b">
        <f t="shared" si="0"/>
        <v>0</v>
      </c>
      <c r="F10" t="str">
        <f>_xlfn.XLOOKUP(C10,[2]Vinculo!$H:$H,[2]Vinculo!$L:$L,"-",0,1)</f>
        <v>-</v>
      </c>
    </row>
    <row r="11" spans="1:6" hidden="1" x14ac:dyDescent="0.25">
      <c r="A11">
        <v>10</v>
      </c>
      <c r="B11" t="s">
        <v>11</v>
      </c>
      <c r="C11" t="str">
        <f>_xlfn.XLOOKUP(B11,[1]Pendentes!$A:$A,[1]Pendentes!$G:$G,"-",0,1)</f>
        <v>ana.tolazzi@pucpr.br</v>
      </c>
      <c r="D11" t="str">
        <f>_xlfn.XLOOKUP(B11,[1]Pendentes!$A:$A,[1]Pendentes!$H:$H,"-",0,1)</f>
        <v>everdan.carneiro@pucpr.br</v>
      </c>
      <c r="E11" t="b">
        <f t="shared" si="0"/>
        <v>0</v>
      </c>
      <c r="F11" t="str">
        <f>_xlfn.XLOOKUP(C11,[2]Vinculo!$H:$H,[2]Vinculo!$L:$L,"-",0,1)</f>
        <v>-</v>
      </c>
    </row>
    <row r="12" spans="1:6" hidden="1" x14ac:dyDescent="0.25">
      <c r="A12">
        <v>11</v>
      </c>
      <c r="B12" t="s">
        <v>12</v>
      </c>
      <c r="C12" t="str">
        <f>_xlfn.XLOOKUP(B12,[1]Pendentes!$A:$A,[1]Pendentes!$G:$G,"-",0,1)</f>
        <v>andre.gobette@pucpr.br</v>
      </c>
      <c r="D12" t="str">
        <f>_xlfn.XLOOKUP(B12,[1]Pendentes!$A:$A,[1]Pendentes!$H:$H,"-",0,1)</f>
        <v>adriana.valero@pucpr.br</v>
      </c>
      <c r="E12" t="b">
        <f t="shared" si="0"/>
        <v>0</v>
      </c>
      <c r="F12" t="str">
        <f>_xlfn.XLOOKUP(C12,[2]Vinculo!$H:$H,[2]Vinculo!$L:$L,"-",0,1)</f>
        <v>-</v>
      </c>
    </row>
    <row r="13" spans="1:6" hidden="1" x14ac:dyDescent="0.25">
      <c r="A13">
        <v>12</v>
      </c>
      <c r="B13" t="s">
        <v>13</v>
      </c>
      <c r="C13" t="str">
        <f>_xlfn.XLOOKUP(B13,[1]Pendentes!$A:$A,[1]Pendentes!$G:$G,"-",0,1)</f>
        <v>gustavo.hochuli@pucpr.br</v>
      </c>
      <c r="D13" t="str">
        <f>_xlfn.XLOOKUP(B13,[1]Pendentes!$A:$A,[1]Pendentes!$H:$H,"-",0,1)</f>
        <v>eduardo.lino@pucpr.br</v>
      </c>
      <c r="E13" t="b">
        <f t="shared" si="0"/>
        <v>0</v>
      </c>
      <c r="F13" t="str">
        <f>_xlfn.XLOOKUP(C13,[2]Vinculo!$H:$H,[2]Vinculo!$L:$L,"-",0,1)</f>
        <v>-</v>
      </c>
    </row>
    <row r="14" spans="1:6" hidden="1" x14ac:dyDescent="0.25">
      <c r="A14">
        <v>13</v>
      </c>
      <c r="B14" t="s">
        <v>14</v>
      </c>
      <c r="C14" t="str">
        <f>_xlfn.XLOOKUP(B14,[1]Pendentes!$A:$A,[1]Pendentes!$G:$G,"-",0,1)</f>
        <v>andre.rberto@pucpr.br</v>
      </c>
      <c r="D14" t="str">
        <f>_xlfn.XLOOKUP(B14,[1]Pendentes!$A:$A,[1]Pendentes!$H:$H,"-",0,1)</f>
        <v>adriana.valero@pucpr.br</v>
      </c>
      <c r="E14" t="b">
        <f t="shared" si="0"/>
        <v>0</v>
      </c>
      <c r="F14" t="str">
        <f>_xlfn.XLOOKUP(C14,[2]Vinculo!$H:$H,[2]Vinculo!$L:$L,"-",0,1)</f>
        <v>-</v>
      </c>
    </row>
    <row r="15" spans="1:6" hidden="1" x14ac:dyDescent="0.25">
      <c r="A15">
        <v>14</v>
      </c>
      <c r="B15" t="s">
        <v>15</v>
      </c>
      <c r="C15" t="str">
        <f>_xlfn.XLOOKUP(B15,[1]Pendentes!$A:$A,[1]Pendentes!$G:$G,"-",0,1)</f>
        <v>andreia.serrato@pucpr.br</v>
      </c>
      <c r="D15" t="str">
        <f>_xlfn.XLOOKUP(B15,[1]Pendentes!$A:$A,[1]Pendentes!$H:$H,"-",0,1)</f>
        <v>cesar.leandro@pucpr.br</v>
      </c>
      <c r="E15" t="b">
        <f t="shared" si="0"/>
        <v>0</v>
      </c>
      <c r="F15" t="str">
        <f>_xlfn.XLOOKUP(C15,[2]Vinculo!$H:$H,[2]Vinculo!$L:$L,"-",0,1)</f>
        <v>-</v>
      </c>
    </row>
    <row r="16" spans="1:6" hidden="1" x14ac:dyDescent="0.25">
      <c r="A16">
        <v>15</v>
      </c>
      <c r="B16" t="s">
        <v>16</v>
      </c>
      <c r="C16" t="str">
        <f>_xlfn.XLOOKUP(B16,[1]Pendentes!$A:$A,[1]Pendentes!$G:$G,"-",0,1)</f>
        <v>luz.andreia@pucpr.br</v>
      </c>
      <c r="D16" t="str">
        <f>_xlfn.XLOOKUP(B16,[1]Pendentes!$A:$A,[1]Pendentes!$H:$H,"-",0,1)</f>
        <v>jackson.bittencourt@pucpr.br</v>
      </c>
      <c r="E16" t="b">
        <f t="shared" si="0"/>
        <v>0</v>
      </c>
      <c r="F16" t="str">
        <f>_xlfn.XLOOKUP(C16,[2]Vinculo!$H:$H,[2]Vinculo!$L:$L,"-",0,1)</f>
        <v>miriam.mazo@pucpr.br</v>
      </c>
    </row>
    <row r="17" spans="1:6" hidden="1" x14ac:dyDescent="0.25">
      <c r="A17">
        <v>16</v>
      </c>
      <c r="B17" t="s">
        <v>17</v>
      </c>
      <c r="C17" t="str">
        <f>_xlfn.XLOOKUP(B17,[1]Pendentes!$A:$A,[1]Pendentes!$G:$G,"-",0,1)</f>
        <v>andreza.sousa@pucpr.br</v>
      </c>
      <c r="D17" t="str">
        <f>_xlfn.XLOOKUP(B17,[1]Pendentes!$A:$A,[1]Pendentes!$H:$H,"-",0,1)</f>
        <v>regina.fabia@pucpr.br</v>
      </c>
      <c r="E17" t="b">
        <f t="shared" si="0"/>
        <v>0</v>
      </c>
      <c r="F17" t="str">
        <f>_xlfn.XLOOKUP(C17,[2]Vinculo!$H:$H,[2]Vinculo!$L:$L,"-",0,1)</f>
        <v>-</v>
      </c>
    </row>
    <row r="18" spans="1:6" hidden="1" x14ac:dyDescent="0.25">
      <c r="A18">
        <v>17</v>
      </c>
      <c r="B18" t="s">
        <v>18</v>
      </c>
      <c r="C18" t="str">
        <f>_xlfn.XLOOKUP(B18,[1]Pendentes!$A:$A,[1]Pendentes!$G:$G,"-",0,1)</f>
        <v>angela.cararo@pucpr.br</v>
      </c>
      <c r="D18" t="str">
        <f>_xlfn.XLOOKUP(B18,[1]Pendentes!$A:$A,[1]Pendentes!$H:$H,"-",0,1)</f>
        <v>cristian.schmidt@pucpr.br</v>
      </c>
      <c r="E18" t="b">
        <f t="shared" si="0"/>
        <v>0</v>
      </c>
      <c r="F18" t="str">
        <f>_xlfn.XLOOKUP(C18,[2]Vinculo!$H:$H,[2]Vinculo!$L:$L,"-",0,1)</f>
        <v>-</v>
      </c>
    </row>
    <row r="19" spans="1:6" hidden="1" x14ac:dyDescent="0.25">
      <c r="A19">
        <v>18</v>
      </c>
      <c r="B19" t="s">
        <v>19</v>
      </c>
      <c r="C19" t="str">
        <f>_xlfn.XLOOKUP(B19,[1]Pendentes!$A:$A,[1]Pendentes!$G:$G,"-",0,1)</f>
        <v>anna.hamorim@pucpr.br</v>
      </c>
      <c r="D19" t="str">
        <f>_xlfn.XLOOKUP(B19,[1]Pendentes!$A:$A,[1]Pendentes!$H:$H,"-",0,1)</f>
        <v>luci.castro@pucpr.br</v>
      </c>
      <c r="E19" t="b">
        <f t="shared" si="0"/>
        <v>0</v>
      </c>
      <c r="F19" t="str">
        <f>_xlfn.XLOOKUP(C19,[2]Vinculo!$H:$H,[2]Vinculo!$L:$L,"-",0,1)</f>
        <v>-</v>
      </c>
    </row>
    <row r="20" spans="1:6" hidden="1" x14ac:dyDescent="0.25">
      <c r="A20">
        <v>19</v>
      </c>
      <c r="B20" t="s">
        <v>20</v>
      </c>
      <c r="C20" t="str">
        <f>_xlfn.XLOOKUP(B20,[1]Pendentes!$A:$A,[1]Pendentes!$G:$G,"-",0,1)</f>
        <v>mercer.antonio@grupomarista.org.br</v>
      </c>
      <c r="D20" t="str">
        <f>_xlfn.XLOOKUP(B20,[1]Pendentes!$A:$A,[1]Pendentes!$H:$H,"-",0,1)</f>
        <v>claudio.skora@pucpr.br</v>
      </c>
      <c r="E20" t="b">
        <f t="shared" si="0"/>
        <v>0</v>
      </c>
      <c r="F20" t="str">
        <f>_xlfn.XLOOKUP(C20,[2]Vinculo!$H:$H,[2]Vinculo!$L:$L,"-",0,1)</f>
        <v>-</v>
      </c>
    </row>
    <row r="21" spans="1:6" hidden="1" x14ac:dyDescent="0.25">
      <c r="A21">
        <v>20</v>
      </c>
      <c r="B21" t="s">
        <v>21</v>
      </c>
      <c r="C21" t="str">
        <f>_xlfn.XLOOKUP(B21,[1]Pendentes!$A:$A,[1]Pendentes!$G:$G,"-",0,1)</f>
        <v>ariana.moura@pucpr.br</v>
      </c>
      <c r="D21" t="str">
        <f>_xlfn.XLOOKUP(B21,[1]Pendentes!$A:$A,[1]Pendentes!$H:$H,"-",0,1)</f>
        <v>camila.parana@pucpr.br</v>
      </c>
      <c r="E21" t="b">
        <f t="shared" si="0"/>
        <v>0</v>
      </c>
      <c r="F21" t="str">
        <f>_xlfn.XLOOKUP(C21,[2]Vinculo!$H:$H,[2]Vinculo!$L:$L,"-",0,1)</f>
        <v>-</v>
      </c>
    </row>
    <row r="22" spans="1:6" hidden="1" x14ac:dyDescent="0.25">
      <c r="A22">
        <v>21</v>
      </c>
      <c r="B22" t="s">
        <v>22</v>
      </c>
      <c r="C22" t="str">
        <f>_xlfn.XLOOKUP(B22,[1]Pendentes!$A:$A,[1]Pendentes!$G:$G,"-",0,1)</f>
        <v>artur.mittelbach@pucpr.br</v>
      </c>
      <c r="D22" t="str">
        <f>_xlfn.XLOOKUP(B22,[1]Pendentes!$A:$A,[1]Pendentes!$H:$H,"-",0,1)</f>
        <v>bruno.paula@pucpr.br</v>
      </c>
      <c r="E22" t="b">
        <f t="shared" si="0"/>
        <v>0</v>
      </c>
      <c r="F22" t="str">
        <f>_xlfn.XLOOKUP(C22,[2]Vinculo!$H:$H,[2]Vinculo!$L:$L,"-",0,1)</f>
        <v>-</v>
      </c>
    </row>
    <row r="23" spans="1:6" hidden="1" x14ac:dyDescent="0.25">
      <c r="A23">
        <v>22</v>
      </c>
      <c r="B23" t="s">
        <v>23</v>
      </c>
      <c r="C23" t="str">
        <f>_xlfn.XLOOKUP(B23,[1]Pendentes!$A:$A,[1]Pendentes!$G:$G,"-",0,1)</f>
        <v>barbara.gimenez@pucpr.br</v>
      </c>
      <c r="D23" t="str">
        <f>_xlfn.XLOOKUP(B23,[1]Pendentes!$A:$A,[1]Pendentes!$H:$H,"-",0,1)</f>
        <v>daniele.saheb@pucpr.br</v>
      </c>
      <c r="E23" t="b">
        <f t="shared" si="0"/>
        <v>0</v>
      </c>
      <c r="F23" t="str">
        <f>_xlfn.XLOOKUP(C23,[2]Vinculo!$H:$H,[2]Vinculo!$L:$L,"-",0,1)</f>
        <v>-</v>
      </c>
    </row>
    <row r="24" spans="1:6" hidden="1" x14ac:dyDescent="0.25">
      <c r="A24">
        <v>23</v>
      </c>
      <c r="B24" t="s">
        <v>24</v>
      </c>
      <c r="C24" t="str">
        <f>_xlfn.XLOOKUP(B24,[1]Pendentes!$A:$A,[1]Pendentes!$G:$G,"-",0,1)</f>
        <v>beatriz.zechlinski@pucpr.br</v>
      </c>
      <c r="D24" t="str">
        <f>_xlfn.XLOOKUP(B24,[1]Pendentes!$A:$A,[1]Pendentes!$H:$H,"-",0,1)</f>
        <v>etiane.caloy@pucpr.br</v>
      </c>
      <c r="E24" t="b">
        <f t="shared" si="0"/>
        <v>0</v>
      </c>
      <c r="F24" t="str">
        <f>_xlfn.XLOOKUP(C24,[2]Vinculo!$H:$H,[2]Vinculo!$L:$L,"-",0,1)</f>
        <v>-</v>
      </c>
    </row>
    <row r="25" spans="1:6" hidden="1" x14ac:dyDescent="0.25">
      <c r="A25">
        <v>24</v>
      </c>
      <c r="B25" t="s">
        <v>25</v>
      </c>
      <c r="C25" t="str">
        <f>_xlfn.XLOOKUP(B25,[1]Pendentes!$A:$A,[1]Pendentes!$G:$G,"-",0,1)</f>
        <v>brenda.giselle@pucpr.br</v>
      </c>
      <c r="D25" t="str">
        <f>_xlfn.XLOOKUP(B25,[1]Pendentes!$A:$A,[1]Pendentes!$H:$H,"-",0,1)</f>
        <v>everdan.carneiro@pucpr.br</v>
      </c>
      <c r="E25" t="b">
        <f t="shared" si="0"/>
        <v>0</v>
      </c>
      <c r="F25" t="str">
        <f>_xlfn.XLOOKUP(C25,[2]Vinculo!$H:$H,[2]Vinculo!$L:$L,"-",0,1)</f>
        <v>-</v>
      </c>
    </row>
    <row r="26" spans="1:6" hidden="1" x14ac:dyDescent="0.25">
      <c r="A26">
        <v>25</v>
      </c>
      <c r="B26" t="s">
        <v>26</v>
      </c>
      <c r="C26" t="str">
        <f>_xlfn.XLOOKUP(B26,[1]Pendentes!$A:$A,[1]Pendentes!$G:$G,"-",0,1)</f>
        <v>bruna.msouza@pucpr.br</v>
      </c>
      <c r="D26" t="str">
        <f>_xlfn.XLOOKUP(B26,[1]Pendentes!$A:$A,[1]Pendentes!$H:$H,"-",0,1)</f>
        <v>mr.garcia@pucpr.br</v>
      </c>
      <c r="E26" t="b">
        <f t="shared" si="0"/>
        <v>0</v>
      </c>
      <c r="F26" t="str">
        <f>_xlfn.XLOOKUP(C26,[2]Vinculo!$H:$H,[2]Vinculo!$L:$L,"-",0,1)</f>
        <v>-</v>
      </c>
    </row>
    <row r="27" spans="1:6" hidden="1" x14ac:dyDescent="0.25">
      <c r="A27">
        <v>26</v>
      </c>
      <c r="B27" t="s">
        <v>27</v>
      </c>
      <c r="C27" t="str">
        <f>_xlfn.XLOOKUP(B27,[1]Pendentes!$A:$A,[1]Pendentes!$G:$G,"-",0,1)</f>
        <v>bruna.dzivielevski@pucpr.br</v>
      </c>
      <c r="D27" t="str">
        <f>_xlfn.XLOOKUP(B27,[1]Pendentes!$A:$A,[1]Pendentes!$H:$H,"-",0,1)</f>
        <v>camila.giuliani@pucpr.br</v>
      </c>
      <c r="E27" t="b">
        <f t="shared" si="0"/>
        <v>0</v>
      </c>
      <c r="F27" t="str">
        <f>_xlfn.XLOOKUP(C27,[2]Vinculo!$H:$H,[2]Vinculo!$L:$L,"-",0,1)</f>
        <v>-</v>
      </c>
    </row>
    <row r="28" spans="1:6" hidden="1" x14ac:dyDescent="0.25">
      <c r="A28">
        <v>27</v>
      </c>
      <c r="B28" t="s">
        <v>28</v>
      </c>
      <c r="C28" t="str">
        <f>_xlfn.XLOOKUP(B28,[1]Pendentes!$A:$A,[1]Pendentes!$G:$G,"-",0,1)</f>
        <v>bruno.rdobicz@pucpr.br</v>
      </c>
      <c r="D28" t="str">
        <f>_xlfn.XLOOKUP(B28,[1]Pendentes!$A:$A,[1]Pendentes!$H:$H,"-",0,1)</f>
        <v>jose.duran@pucpr.br</v>
      </c>
      <c r="E28" t="b">
        <f t="shared" si="0"/>
        <v>0</v>
      </c>
      <c r="F28" t="str">
        <f>_xlfn.XLOOKUP(C28,[2]Vinculo!$H:$H,[2]Vinculo!$L:$L,"-",0,1)</f>
        <v>-</v>
      </c>
    </row>
    <row r="29" spans="1:6" hidden="1" x14ac:dyDescent="0.25">
      <c r="A29">
        <v>28</v>
      </c>
      <c r="B29" t="s">
        <v>29</v>
      </c>
      <c r="C29" t="str">
        <f>_xlfn.XLOOKUP(B29,[1]Pendentes!$A:$A,[1]Pendentes!$G:$G,"-",0,1)</f>
        <v>bruno.spadoni@pucpr.br</v>
      </c>
      <c r="D29" t="str">
        <f>_xlfn.XLOOKUP(B29,[1]Pendentes!$A:$A,[1]Pendentes!$H:$H,"-",0,1)</f>
        <v>camila.giuliani@pucpr.br</v>
      </c>
      <c r="E29" t="b">
        <f t="shared" si="0"/>
        <v>0</v>
      </c>
      <c r="F29" t="str">
        <f>_xlfn.XLOOKUP(C29,[2]Vinculo!$H:$H,[2]Vinculo!$L:$L,"-",0,1)</f>
        <v>-</v>
      </c>
    </row>
    <row r="30" spans="1:6" hidden="1" x14ac:dyDescent="0.25">
      <c r="A30">
        <v>29</v>
      </c>
      <c r="B30" t="s">
        <v>30</v>
      </c>
      <c r="C30" t="str">
        <f>_xlfn.XLOOKUP(B30,[1]Pendentes!$A:$A,[1]Pendentes!$G:$G,"-",0,1)</f>
        <v>augusto.caio@pucpr.br</v>
      </c>
      <c r="D30" t="str">
        <f>_xlfn.XLOOKUP(B30,[1]Pendentes!$A:$A,[1]Pendentes!$H:$H,"-",0,1)</f>
        <v>claudio.skora@pucpr.br</v>
      </c>
      <c r="E30" t="b">
        <f t="shared" si="0"/>
        <v>0</v>
      </c>
      <c r="F30" t="str">
        <f>_xlfn.XLOOKUP(C30,[2]Vinculo!$H:$H,[2]Vinculo!$L:$L,"-",0,1)</f>
        <v>-</v>
      </c>
    </row>
    <row r="31" spans="1:6" hidden="1" x14ac:dyDescent="0.25">
      <c r="A31">
        <v>30</v>
      </c>
      <c r="B31" t="s">
        <v>31</v>
      </c>
      <c r="C31" t="str">
        <f>_xlfn.XLOOKUP(B31,[1]Pendentes!$A:$A,[1]Pendentes!$G:$G,"-",0,1)</f>
        <v>caio.carniatto@pucpr.br</v>
      </c>
      <c r="D31" t="str">
        <f>_xlfn.XLOOKUP(B31,[1]Pendentes!$A:$A,[1]Pendentes!$H:$H,"-",0,1)</f>
        <v>ricardo.lopes@pucpr.br</v>
      </c>
      <c r="E31" t="b">
        <f t="shared" si="0"/>
        <v>0</v>
      </c>
      <c r="F31" t="str">
        <f>_xlfn.XLOOKUP(C31,[2]Vinculo!$H:$H,[2]Vinculo!$L:$L,"-",0,1)</f>
        <v>ricardo.lopes@pucpr.br</v>
      </c>
    </row>
    <row r="32" spans="1:6" hidden="1" x14ac:dyDescent="0.25">
      <c r="A32">
        <v>31</v>
      </c>
      <c r="B32" t="s">
        <v>32</v>
      </c>
      <c r="C32" t="str">
        <f>_xlfn.XLOOKUP(B32,[1]Pendentes!$A:$A,[1]Pendentes!$G:$G,"-",0,1)</f>
        <v>camila.hartmann@pucpr.br</v>
      </c>
      <c r="D32" t="str">
        <f>_xlfn.XLOOKUP(B32,[1]Pendentes!$A:$A,[1]Pendentes!$H:$H,"-",0,1)</f>
        <v>camila.giuliani@pucpr.br</v>
      </c>
      <c r="E32" t="b">
        <f t="shared" si="0"/>
        <v>0</v>
      </c>
      <c r="F32" t="str">
        <f>_xlfn.XLOOKUP(C32,[2]Vinculo!$H:$H,[2]Vinculo!$L:$L,"-",0,1)</f>
        <v>-</v>
      </c>
    </row>
    <row r="33" spans="1:6" hidden="1" x14ac:dyDescent="0.25">
      <c r="A33">
        <v>32</v>
      </c>
      <c r="B33" t="s">
        <v>33</v>
      </c>
      <c r="C33" t="str">
        <f>_xlfn.XLOOKUP(B33,[1]Pendentes!$A:$A,[1]Pendentes!$G:$G,"-",0,1)</f>
        <v>carla.netto@pucpr.br</v>
      </c>
      <c r="D33" t="str">
        <f>_xlfn.XLOOKUP(B33,[1]Pendentes!$A:$A,[1]Pendentes!$H:$H,"-",0,1)</f>
        <v>l.kava@pucpr.br</v>
      </c>
      <c r="E33" t="b">
        <f t="shared" si="0"/>
        <v>0</v>
      </c>
      <c r="F33" t="str">
        <f>_xlfn.XLOOKUP(C33,[2]Vinculo!$H:$H,[2]Vinculo!$L:$L,"-",0,1)</f>
        <v>-</v>
      </c>
    </row>
    <row r="34" spans="1:6" hidden="1" x14ac:dyDescent="0.25">
      <c r="A34">
        <v>33</v>
      </c>
      <c r="B34" t="s">
        <v>34</v>
      </c>
      <c r="C34" t="str">
        <f>_xlfn.XLOOKUP(B34,[1]Pendentes!$A:$A,[1]Pendentes!$G:$G,"-",0,1)</f>
        <v>carlos.lunelli@pucpr.br</v>
      </c>
      <c r="D34" t="str">
        <f>_xlfn.XLOOKUP(B34,[1]Pendentes!$A:$A,[1]Pendentes!$H:$H,"-",0,1)</f>
        <v>priscila.praxedes@grupomarista.org.br</v>
      </c>
      <c r="E34" t="b">
        <f t="shared" si="0"/>
        <v>0</v>
      </c>
      <c r="F34" t="str">
        <f>_xlfn.XLOOKUP(C34,[2]Vinculo!$H:$H,[2]Vinculo!$L:$L,"-",0,1)</f>
        <v>-</v>
      </c>
    </row>
    <row r="35" spans="1:6" hidden="1" x14ac:dyDescent="0.25">
      <c r="A35">
        <v>34</v>
      </c>
      <c r="B35" t="s">
        <v>35</v>
      </c>
      <c r="C35" t="str">
        <f>_xlfn.XLOOKUP(B35,[1]Pendentes!$A:$A,[1]Pendentes!$G:$G,"-",0,1)</f>
        <v>frederico.oldenburg@pucpr.br</v>
      </c>
      <c r="D35" t="str">
        <f>_xlfn.XLOOKUP(B35,[1]Pendentes!$A:$A,[1]Pendentes!$H:$H,"-",0,1)</f>
        <v>camila.giuliani@pucpr.br</v>
      </c>
      <c r="E35" t="b">
        <f t="shared" si="0"/>
        <v>0</v>
      </c>
      <c r="F35" t="str">
        <f>_xlfn.XLOOKUP(C35,[2]Vinculo!$H:$H,[2]Vinculo!$L:$L,"-",0,1)</f>
        <v>-</v>
      </c>
    </row>
    <row r="36" spans="1:6" hidden="1" x14ac:dyDescent="0.25">
      <c r="A36">
        <v>35</v>
      </c>
      <c r="B36" t="s">
        <v>36</v>
      </c>
      <c r="C36" t="str">
        <f>_xlfn.XLOOKUP(B36,[1]Pendentes!$A:$A,[1]Pendentes!$G:$G,"-",0,1)</f>
        <v>carolina.cavalcante@pucpr.br</v>
      </c>
      <c r="D36" t="str">
        <f>_xlfn.XLOOKUP(B36,[1]Pendentes!$A:$A,[1]Pendentes!$H:$H,"-",0,1)</f>
        <v>celina.duque@pucpr.br</v>
      </c>
      <c r="E36" t="b">
        <f t="shared" si="0"/>
        <v>0</v>
      </c>
      <c r="F36" t="str">
        <f>_xlfn.XLOOKUP(C36,[2]Vinculo!$H:$H,[2]Vinculo!$L:$L,"-",0,1)</f>
        <v>-</v>
      </c>
    </row>
    <row r="37" spans="1:6" hidden="1" x14ac:dyDescent="0.25">
      <c r="A37">
        <v>36</v>
      </c>
      <c r="B37" t="s">
        <v>37</v>
      </c>
      <c r="C37" t="str">
        <f>_xlfn.XLOOKUP(B37,[1]Pendentes!$A:$A,[1]Pendentes!$G:$G,"-",0,1)</f>
        <v>cesar.akuzma@pucpr.br</v>
      </c>
      <c r="D37" t="str">
        <f>_xlfn.XLOOKUP(B37,[1]Pendentes!$A:$A,[1]Pendentes!$H:$H,"-",0,1)</f>
        <v>cesar.leandro@pucpr.br</v>
      </c>
      <c r="E37" t="b">
        <f t="shared" si="0"/>
        <v>0</v>
      </c>
      <c r="F37" t="str">
        <f>_xlfn.XLOOKUP(C37,[2]Vinculo!$H:$H,[2]Vinculo!$L:$L,"-",0,1)</f>
        <v>-</v>
      </c>
    </row>
    <row r="38" spans="1:6" hidden="1" x14ac:dyDescent="0.25">
      <c r="A38">
        <v>37</v>
      </c>
      <c r="B38" t="s">
        <v>38</v>
      </c>
      <c r="C38" t="str">
        <f>_xlfn.XLOOKUP(B38,[1]Pendentes!$A:$A,[1]Pendentes!$G:$G,"-",0,1)</f>
        <v>cristina.cintia@pucpr.br</v>
      </c>
      <c r="D38" t="str">
        <f>_xlfn.XLOOKUP(B38,[1]Pendentes!$A:$A,[1]Pendentes!$H:$H,"-",0,1)</f>
        <v>l.kava@pucpr.br</v>
      </c>
      <c r="E38" t="b">
        <f t="shared" si="0"/>
        <v>0</v>
      </c>
      <c r="F38" t="str">
        <f>_xlfn.XLOOKUP(C38,[2]Vinculo!$H:$H,[2]Vinculo!$L:$L,"-",0,1)</f>
        <v>-</v>
      </c>
    </row>
    <row r="39" spans="1:6" x14ac:dyDescent="0.25">
      <c r="A39" s="1">
        <v>38</v>
      </c>
      <c r="B39" s="1" t="s">
        <v>39</v>
      </c>
      <c r="C39" s="1" t="str">
        <f>_xlfn.XLOOKUP(B39,[1]Pendentes!$A:$A,[1]Pendentes!$G:$G,"-",0,1)</f>
        <v>claudio.skora@pucpr.br</v>
      </c>
      <c r="D39" s="1" t="str">
        <f>_xlfn.XLOOKUP(B39,[1]Pendentes!$A:$A,[1]Pendentes!$H:$H,"-",0,1)</f>
        <v>claudio.skora@pucpr.br</v>
      </c>
      <c r="E39" s="1" t="b">
        <f t="shared" si="0"/>
        <v>1</v>
      </c>
      <c r="F39" s="1" t="str">
        <f>_xlfn.XLOOKUP(C39,[2]Vinculo!$H:$H,[2]Vinculo!$L:$L,"-",0,1)</f>
        <v>-</v>
      </c>
    </row>
    <row r="40" spans="1:6" x14ac:dyDescent="0.25">
      <c r="A40" s="1">
        <v>39</v>
      </c>
      <c r="B40" s="1" t="s">
        <v>40</v>
      </c>
      <c r="C40" s="1" t="str">
        <f>_xlfn.XLOOKUP(B40,[1]Pendentes!$A:$A,[1]Pendentes!$G:$G,"-",0,1)</f>
        <v>santos.clayton@pucpr.br</v>
      </c>
      <c r="D40" s="1" t="str">
        <f>_xlfn.XLOOKUP(B40,[1]Pendentes!$A:$A,[1]Pendentes!$H:$H,"-",0,1)</f>
        <v>santos.clayton@pucpr.br</v>
      </c>
      <c r="E40" s="1" t="b">
        <f t="shared" si="0"/>
        <v>1</v>
      </c>
      <c r="F40" s="1" t="str">
        <f>_xlfn.XLOOKUP(C40,[2]Vinculo!$H:$H,[2]Vinculo!$L:$L,"-",0,1)</f>
        <v>nadina.moreno@pucpr.br</v>
      </c>
    </row>
    <row r="41" spans="1:6" x14ac:dyDescent="0.25">
      <c r="A41" s="1">
        <v>40</v>
      </c>
      <c r="B41" s="1" t="s">
        <v>41</v>
      </c>
      <c r="C41" s="1" t="str">
        <f>_xlfn.XLOOKUP(B41,[1]Pendentes!$A:$A,[1]Pendentes!$G:$G,"-",0,1)</f>
        <v>cleber.kiel@pucpr.br</v>
      </c>
      <c r="D41" s="1" t="str">
        <f>_xlfn.XLOOKUP(B41,[1]Pendentes!$A:$A,[1]Pendentes!$H:$H,"-",0,1)</f>
        <v>cleber.kiel@pucpr.br</v>
      </c>
      <c r="E41" s="1" t="b">
        <f t="shared" si="0"/>
        <v>1</v>
      </c>
      <c r="F41" s="1" t="str">
        <f>_xlfn.XLOOKUP(C41,[2]Vinculo!$H:$H,[2]Vinculo!$L:$L,"-",0,1)</f>
        <v>marco.paludo@pucpr.br</v>
      </c>
    </row>
    <row r="42" spans="1:6" hidden="1" x14ac:dyDescent="0.25">
      <c r="A42">
        <v>41</v>
      </c>
      <c r="B42" t="s">
        <v>42</v>
      </c>
      <c r="C42" t="str">
        <f>_xlfn.XLOOKUP(B42,[1]Pendentes!$A:$A,[1]Pendentes!$G:$G,"-",0,1)</f>
        <v>dalton.kozak@pucpr.br</v>
      </c>
      <c r="D42" t="str">
        <f>_xlfn.XLOOKUP(B42,[1]Pendentes!$A:$A,[1]Pendentes!$H:$H,"-",0,1)</f>
        <v>valter.klein@pucpr.br</v>
      </c>
      <c r="E42" t="b">
        <f t="shared" si="0"/>
        <v>0</v>
      </c>
      <c r="F42" t="str">
        <f>_xlfn.XLOOKUP(C42,[2]Vinculo!$H:$H,[2]Vinculo!$L:$L,"-",0,1)</f>
        <v>-</v>
      </c>
    </row>
    <row r="43" spans="1:6" hidden="1" x14ac:dyDescent="0.25">
      <c r="A43">
        <v>42</v>
      </c>
      <c r="B43" t="s">
        <v>43</v>
      </c>
      <c r="C43" t="str">
        <f>_xlfn.XLOOKUP(B43,[1]Pendentes!$A:$A,[1]Pendentes!$G:$G,"-",0,1)</f>
        <v>daniel.siqueira@hospitalmarcelino.com.br</v>
      </c>
      <c r="D43" t="str">
        <f>_xlfn.XLOOKUP(B43,[1]Pendentes!$A:$A,[1]Pendentes!$H:$H,"-",0,1)</f>
        <v>camila.giuliani@pucpr.br</v>
      </c>
      <c r="E43" t="b">
        <f t="shared" si="0"/>
        <v>0</v>
      </c>
      <c r="F43" t="str">
        <f>_xlfn.XLOOKUP(C43,[2]Vinculo!$H:$H,[2]Vinculo!$L:$L,"-",0,1)</f>
        <v>-</v>
      </c>
    </row>
    <row r="44" spans="1:6" hidden="1" x14ac:dyDescent="0.25">
      <c r="A44">
        <v>43</v>
      </c>
      <c r="B44" t="s">
        <v>44</v>
      </c>
      <c r="C44" t="str">
        <f>_xlfn.XLOOKUP(B44,[1]Pendentes!$A:$A,[1]Pendentes!$G:$G,"-",0,1)</f>
        <v>daniele.roliveira@pucpr.br</v>
      </c>
      <c r="D44" t="str">
        <f>_xlfn.XLOOKUP(B44,[1]Pendentes!$A:$A,[1]Pendentes!$H:$H,"-",0,1)</f>
        <v>camila.giuliani@pucpr.br</v>
      </c>
      <c r="E44" t="b">
        <f t="shared" si="0"/>
        <v>0</v>
      </c>
      <c r="F44" t="str">
        <f>_xlfn.XLOOKUP(C44,[2]Vinculo!$H:$H,[2]Vinculo!$L:$L,"-",0,1)</f>
        <v>-</v>
      </c>
    </row>
    <row r="45" spans="1:6" hidden="1" x14ac:dyDescent="0.25">
      <c r="A45">
        <v>44</v>
      </c>
      <c r="B45" t="s">
        <v>45</v>
      </c>
      <c r="C45" t="str">
        <f>_xlfn.XLOOKUP(B45,[1]Pendentes!$A:$A,[1]Pendentes!$G:$G,"-",0,1)</f>
        <v>debora.nemer@pucpr.br</v>
      </c>
      <c r="D45" t="str">
        <f>_xlfn.XLOOKUP(B45,[1]Pendentes!$A:$A,[1]Pendentes!$H:$H,"-",0,1)</f>
        <v>camila.parana@pucpr.br</v>
      </c>
      <c r="E45" t="b">
        <f t="shared" si="0"/>
        <v>0</v>
      </c>
      <c r="F45" t="str">
        <f>_xlfn.XLOOKUP(C45,[2]Vinculo!$H:$H,[2]Vinculo!$L:$L,"-",0,1)</f>
        <v>-</v>
      </c>
    </row>
    <row r="46" spans="1:6" hidden="1" x14ac:dyDescent="0.25">
      <c r="A46">
        <v>45</v>
      </c>
      <c r="B46" t="s">
        <v>46</v>
      </c>
      <c r="C46" t="str">
        <f>_xlfn.XLOOKUP(B46,[1]Pendentes!$A:$A,[1]Pendentes!$G:$G,"-",0,1)</f>
        <v>deborah.tazima@pucpr.br</v>
      </c>
      <c r="D46" t="str">
        <f>_xlfn.XLOOKUP(B46,[1]Pendentes!$A:$A,[1]Pendentes!$H:$H,"-",0,1)</f>
        <v>l.kava@pucpr.br</v>
      </c>
      <c r="E46" t="b">
        <f t="shared" si="0"/>
        <v>0</v>
      </c>
      <c r="F46" t="str">
        <f>_xlfn.XLOOKUP(C46,[2]Vinculo!$H:$H,[2]Vinculo!$L:$L,"-",0,1)</f>
        <v>-</v>
      </c>
    </row>
    <row r="47" spans="1:6" hidden="1" x14ac:dyDescent="0.25">
      <c r="A47">
        <v>46</v>
      </c>
      <c r="B47" t="s">
        <v>47</v>
      </c>
      <c r="C47" t="str">
        <f>_xlfn.XLOOKUP(B47,[1]Pendentes!$A:$A,[1]Pendentes!$G:$G,"-",0,1)</f>
        <v>denise.revelk@pucpr.br</v>
      </c>
      <c r="D47" t="str">
        <f>_xlfn.XLOOKUP(B47,[1]Pendentes!$A:$A,[1]Pendentes!$H:$H,"-",0,1)</f>
        <v>adriana.valero@pucpr.br</v>
      </c>
      <c r="E47" t="b">
        <f t="shared" si="0"/>
        <v>0</v>
      </c>
      <c r="F47" t="str">
        <f>_xlfn.XLOOKUP(C47,[2]Vinculo!$H:$H,[2]Vinculo!$L:$L,"-",0,1)</f>
        <v>-</v>
      </c>
    </row>
    <row r="48" spans="1:6" hidden="1" x14ac:dyDescent="0.25">
      <c r="A48">
        <v>47</v>
      </c>
      <c r="B48" t="s">
        <v>48</v>
      </c>
      <c r="C48" t="str">
        <f>_xlfn.XLOOKUP(B48,[1]Pendentes!$A:$A,[1]Pendentes!$G:$G,"-",0,1)</f>
        <v>deoclecio.silva@pucpr.br</v>
      </c>
      <c r="D48" t="str">
        <f>_xlfn.XLOOKUP(B48,[1]Pendentes!$A:$A,[1]Pendentes!$H:$H,"-",0,1)</f>
        <v>claudio.skora@pucpr.br</v>
      </c>
      <c r="E48" t="b">
        <f t="shared" si="0"/>
        <v>0</v>
      </c>
      <c r="F48" t="str">
        <f>_xlfn.XLOOKUP(C48,[2]Vinculo!$H:$H,[2]Vinculo!$L:$L,"-",0,1)</f>
        <v>-</v>
      </c>
    </row>
    <row r="49" spans="1:6" hidden="1" x14ac:dyDescent="0.25">
      <c r="A49">
        <v>48</v>
      </c>
      <c r="B49" t="s">
        <v>49</v>
      </c>
      <c r="C49" t="str">
        <f>_xlfn.XLOOKUP(B49,[1]Pendentes!$A:$A,[1]Pendentes!$G:$G,"-",0,1)</f>
        <v>edisom.brum@pucpr.br</v>
      </c>
      <c r="D49" t="str">
        <f>_xlfn.XLOOKUP(B49,[1]Pendentes!$A:$A,[1]Pendentes!$H:$H,"-",0,1)</f>
        <v>camila.giuliani@pucpr.br</v>
      </c>
      <c r="E49" t="b">
        <f t="shared" si="0"/>
        <v>0</v>
      </c>
      <c r="F49" t="str">
        <f>_xlfn.XLOOKUP(C49,[2]Vinculo!$H:$H,[2]Vinculo!$L:$L,"-",0,1)</f>
        <v>-</v>
      </c>
    </row>
    <row r="50" spans="1:6" hidden="1" x14ac:dyDescent="0.25">
      <c r="A50">
        <v>49</v>
      </c>
      <c r="B50" t="s">
        <v>50</v>
      </c>
      <c r="C50" t="str">
        <f>_xlfn.XLOOKUP(B50,[1]Pendentes!$A:$A,[1]Pendentes!$G:$G,"-",0,1)</f>
        <v>edson.scalabrin@pucpr.br</v>
      </c>
      <c r="D50" t="str">
        <f>_xlfn.XLOOKUP(B50,[1]Pendentes!$A:$A,[1]Pendentes!$H:$H,"-",0,1)</f>
        <v>eduardo.lino@pucpr.br</v>
      </c>
      <c r="E50" t="b">
        <f t="shared" si="0"/>
        <v>0</v>
      </c>
      <c r="F50" t="str">
        <f>_xlfn.XLOOKUP(C50,[2]Vinculo!$H:$H,[2]Vinculo!$L:$L,"-",0,1)</f>
        <v>-</v>
      </c>
    </row>
    <row r="51" spans="1:6" hidden="1" x14ac:dyDescent="0.25">
      <c r="A51">
        <v>50</v>
      </c>
      <c r="B51" t="s">
        <v>51</v>
      </c>
      <c r="C51" t="str">
        <f>_xlfn.XLOOKUP(B51,[1]Pendentes!$A:$A,[1]Pendentes!$G:$G,"-",0,1)</f>
        <v>eduardo.loures@pucpr.br</v>
      </c>
      <c r="D51" t="str">
        <f>_xlfn.XLOOKUP(B51,[1]Pendentes!$A:$A,[1]Pendentes!$H:$H,"-",0,1)</f>
        <v>emerson.donaisky@pucpr.br</v>
      </c>
      <c r="E51" t="b">
        <f t="shared" si="0"/>
        <v>0</v>
      </c>
      <c r="F51" t="str">
        <f>_xlfn.XLOOKUP(C51,[2]Vinculo!$H:$H,[2]Vinculo!$L:$L,"-",0,1)</f>
        <v>-</v>
      </c>
    </row>
    <row r="52" spans="1:6" hidden="1" x14ac:dyDescent="0.25">
      <c r="A52">
        <v>51</v>
      </c>
      <c r="B52" t="s">
        <v>52</v>
      </c>
      <c r="C52" t="str">
        <f>_xlfn.XLOOKUP(B52,[1]Pendentes!$A:$A,[1]Pendentes!$G:$G,"-",0,1)</f>
        <v>lopes.e@pucpr.br</v>
      </c>
      <c r="D52" t="str">
        <f>_xlfn.XLOOKUP(B52,[1]Pendentes!$A:$A,[1]Pendentes!$H:$H,"-",0,1)</f>
        <v>camila.giuliani@pucpr.br</v>
      </c>
      <c r="E52" t="b">
        <f t="shared" si="0"/>
        <v>0</v>
      </c>
      <c r="F52" t="str">
        <f>_xlfn.XLOOKUP(C52,[2]Vinculo!$H:$H,[2]Vinculo!$L:$L,"-",0,1)</f>
        <v>-</v>
      </c>
    </row>
    <row r="53" spans="1:6" hidden="1" x14ac:dyDescent="0.25">
      <c r="A53">
        <v>52</v>
      </c>
      <c r="B53" t="s">
        <v>53</v>
      </c>
      <c r="C53" t="str">
        <f>_xlfn.XLOOKUP(B53,[1]Pendentes!$A:$A,[1]Pendentes!$G:$G,"-",0,1)</f>
        <v>eduardo.fonseca@grupomarista.org.br</v>
      </c>
      <c r="D53" t="str">
        <f>_xlfn.XLOOKUP(B53,[1]Pendentes!$A:$A,[1]Pendentes!$H:$H,"-",0,1)</f>
        <v>geovani.moretto@pucpr.br</v>
      </c>
      <c r="E53" t="b">
        <f t="shared" si="0"/>
        <v>0</v>
      </c>
      <c r="F53" t="str">
        <f>_xlfn.XLOOKUP(C53,[2]Vinculo!$H:$H,[2]Vinculo!$L:$L,"-",0,1)</f>
        <v>-</v>
      </c>
    </row>
    <row r="54" spans="1:6" hidden="1" x14ac:dyDescent="0.25">
      <c r="A54">
        <v>53</v>
      </c>
      <c r="B54" t="s">
        <v>54</v>
      </c>
      <c r="C54" t="str">
        <f>_xlfn.XLOOKUP(B54,[1]Pendentes!$A:$A,[1]Pendentes!$G:$G,"-",0,1)</f>
        <v>eliane.francisco@pucpr.br</v>
      </c>
      <c r="D54" t="str">
        <f>_xlfn.XLOOKUP(B54,[1]Pendentes!$A:$A,[1]Pendentes!$H:$H,"-",0,1)</f>
        <v>l.kava@pucpr.br</v>
      </c>
      <c r="E54" t="b">
        <f t="shared" si="0"/>
        <v>0</v>
      </c>
      <c r="F54" t="str">
        <f>_xlfn.XLOOKUP(C54,[2]Vinculo!$H:$H,[2]Vinculo!$L:$L,"-",0,1)</f>
        <v>-</v>
      </c>
    </row>
    <row r="55" spans="1:6" hidden="1" x14ac:dyDescent="0.25">
      <c r="A55">
        <v>54</v>
      </c>
      <c r="B55" t="s">
        <v>55</v>
      </c>
      <c r="C55" t="str">
        <f>_xlfn.XLOOKUP(B55,[1]Pendentes!$A:$A,[1]Pendentes!$G:$G,"-",0,1)</f>
        <v>elisangela.manffra@pucpr.br</v>
      </c>
      <c r="D55" t="str">
        <f>_xlfn.XLOOKUP(B55,[1]Pendentes!$A:$A,[1]Pendentes!$H:$H,"-",0,1)</f>
        <v>ricardo.nabhen@pucpr.br</v>
      </c>
      <c r="E55" t="b">
        <f t="shared" si="0"/>
        <v>0</v>
      </c>
      <c r="F55" t="str">
        <f>_xlfn.XLOOKUP(C55,[2]Vinculo!$H:$H,[2]Vinculo!$L:$L,"-",0,1)</f>
        <v>-</v>
      </c>
    </row>
    <row r="56" spans="1:6" hidden="1" x14ac:dyDescent="0.25">
      <c r="A56">
        <v>55</v>
      </c>
      <c r="B56" t="s">
        <v>56</v>
      </c>
      <c r="C56" t="str">
        <f>_xlfn.XLOOKUP(B56,[1]Pendentes!$A:$A,[1]Pendentes!$G:$G,"-",0,1)</f>
        <v>elizabeth.sou@pucpr.br</v>
      </c>
      <c r="D56" t="str">
        <f>_xlfn.XLOOKUP(B56,[1]Pendentes!$A:$A,[1]Pendentes!$H:$H,"-",0,1)</f>
        <v>claudio.skora@pucpr.br</v>
      </c>
      <c r="E56" t="b">
        <f t="shared" si="0"/>
        <v>0</v>
      </c>
      <c r="F56" t="str">
        <f>_xlfn.XLOOKUP(C56,[2]Vinculo!$H:$H,[2]Vinculo!$L:$L,"-",0,1)</f>
        <v>miriam.mazo@pucpr.br</v>
      </c>
    </row>
    <row r="57" spans="1:6" hidden="1" x14ac:dyDescent="0.25">
      <c r="A57">
        <v>56</v>
      </c>
      <c r="B57" t="s">
        <v>57</v>
      </c>
      <c r="C57" t="str">
        <f>_xlfn.XLOOKUP(B57,[1]Pendentes!$A:$A,[1]Pendentes!$G:$G,"-",0,1)</f>
        <v>emerson.martim@pucpr.br</v>
      </c>
      <c r="D57" t="str">
        <f>_xlfn.XLOOKUP(B57,[1]Pendentes!$A:$A,[1]Pendentes!$H:$H,"-",0,1)</f>
        <v>priscila.praxedes@grupomarista.org.br</v>
      </c>
      <c r="E57" t="b">
        <f t="shared" si="0"/>
        <v>0</v>
      </c>
      <c r="F57" t="str">
        <f>_xlfn.XLOOKUP(C57,[2]Vinculo!$H:$H,[2]Vinculo!$L:$L,"-",0,1)</f>
        <v>-</v>
      </c>
    </row>
    <row r="58" spans="1:6" x14ac:dyDescent="0.25">
      <c r="A58" s="1">
        <v>57</v>
      </c>
      <c r="B58" s="1" t="s">
        <v>58</v>
      </c>
      <c r="C58" s="1" t="str">
        <f>_xlfn.XLOOKUP(B58,[1]Pendentes!$A:$A,[1]Pendentes!$G:$G,"-",0,1)</f>
        <v>erica.natti@pucpr.br</v>
      </c>
      <c r="D58" s="1" t="str">
        <f>_xlfn.XLOOKUP(B58,[1]Pendentes!$A:$A,[1]Pendentes!$H:$H,"-",0,1)</f>
        <v>erica.natti@pucpr.br</v>
      </c>
      <c r="E58" s="1" t="b">
        <f t="shared" si="0"/>
        <v>1</v>
      </c>
      <c r="F58" s="1" t="str">
        <f>_xlfn.XLOOKUP(C58,[2]Vinculo!$H:$H,[2]Vinculo!$L:$L,"-",0,1)</f>
        <v>nadina.moreno@pucpr.br</v>
      </c>
    </row>
    <row r="59" spans="1:6" hidden="1" x14ac:dyDescent="0.25">
      <c r="A59">
        <v>58</v>
      </c>
      <c r="B59" t="s">
        <v>59</v>
      </c>
      <c r="C59" t="str">
        <f>_xlfn.XLOOKUP(B59,[1]Pendentes!$A:$A,[1]Pendentes!$G:$G,"-",0,1)</f>
        <v>erika.hoyama@pucpr.br</v>
      </c>
      <c r="D59" t="str">
        <f>_xlfn.XLOOKUP(B59,[1]Pendentes!$A:$A,[1]Pendentes!$H:$H,"-",0,1)</f>
        <v>luci.castro@pucpr.br</v>
      </c>
      <c r="E59" t="b">
        <f t="shared" si="0"/>
        <v>0</v>
      </c>
      <c r="F59" t="str">
        <f>_xlfn.XLOOKUP(C59,[2]Vinculo!$H:$H,[2]Vinculo!$L:$L,"-",0,1)</f>
        <v>-</v>
      </c>
    </row>
    <row r="60" spans="1:6" hidden="1" x14ac:dyDescent="0.25">
      <c r="A60">
        <v>59</v>
      </c>
      <c r="B60" t="s">
        <v>60</v>
      </c>
      <c r="C60" t="str">
        <f>_xlfn.XLOOKUP(B60,[1]Pendentes!$A:$A,[1]Pendentes!$G:$G,"-",0,1)</f>
        <v>erika.okuno@pucpr.br</v>
      </c>
      <c r="D60" t="str">
        <f>_xlfn.XLOOKUP(B60,[1]Pendentes!$A:$A,[1]Pendentes!$H:$H,"-",0,1)</f>
        <v>luci.castro@pucpr.br</v>
      </c>
      <c r="E60" t="b">
        <f t="shared" si="0"/>
        <v>0</v>
      </c>
      <c r="F60" t="str">
        <f>_xlfn.XLOOKUP(C60,[2]Vinculo!$H:$H,[2]Vinculo!$L:$L,"-",0,1)</f>
        <v>-</v>
      </c>
    </row>
    <row r="61" spans="1:6" x14ac:dyDescent="0.25">
      <c r="A61" s="1">
        <v>60</v>
      </c>
      <c r="B61" s="1" t="s">
        <v>61</v>
      </c>
      <c r="C61" s="1" t="str">
        <f>_xlfn.XLOOKUP(B61,[1]Pendentes!$A:$A,[1]Pendentes!$G:$G,"-",0,1)</f>
        <v>etiane.caloy@pucpr.br</v>
      </c>
      <c r="D61" s="1" t="str">
        <f>_xlfn.XLOOKUP(B61,[1]Pendentes!$A:$A,[1]Pendentes!$H:$H,"-",0,1)</f>
        <v>etiane.caloy@pucpr.br</v>
      </c>
      <c r="E61" s="1" t="b">
        <f t="shared" si="0"/>
        <v>1</v>
      </c>
      <c r="F61" s="1" t="str">
        <f>_xlfn.XLOOKUP(C61,[2]Vinculo!$H:$H,[2]Vinculo!$L:$L,"-",0,1)</f>
        <v>c.candiotto@pucpr.br</v>
      </c>
    </row>
    <row r="62" spans="1:6" hidden="1" x14ac:dyDescent="0.25">
      <c r="A62">
        <v>61</v>
      </c>
      <c r="B62" t="s">
        <v>62</v>
      </c>
      <c r="C62" t="str">
        <f>_xlfn.XLOOKUP(B62,[1]Pendentes!$A:$A,[1]Pendentes!$G:$G,"-",0,1)</f>
        <v>everson.motta@pucpr.br</v>
      </c>
      <c r="D62" t="str">
        <f>_xlfn.XLOOKUP(B62,[1]Pendentes!$A:$A,[1]Pendentes!$H:$H,"-",0,1)</f>
        <v>daniele.saheb@pucpr.br</v>
      </c>
      <c r="E62" t="b">
        <f t="shared" si="0"/>
        <v>0</v>
      </c>
      <c r="F62" t="str">
        <f>_xlfn.XLOOKUP(C62,[2]Vinculo!$H:$H,[2]Vinculo!$L:$L,"-",0,1)</f>
        <v>-</v>
      </c>
    </row>
    <row r="63" spans="1:6" hidden="1" x14ac:dyDescent="0.25">
      <c r="A63">
        <v>62</v>
      </c>
      <c r="B63" t="s">
        <v>63</v>
      </c>
      <c r="C63" t="str">
        <f>_xlfn.XLOOKUP(B63,[1]Pendentes!$A:$A,[1]Pendentes!$G:$G,"-",0,1)</f>
        <v>ewerton.kaviski@pucpr.br</v>
      </c>
      <c r="D63" t="str">
        <f>_xlfn.XLOOKUP(B63,[1]Pendentes!$A:$A,[1]Pendentes!$H:$H,"-",0,1)</f>
        <v>joselia.ribeiro@grupomarista.org.br</v>
      </c>
      <c r="E63" t="b">
        <f t="shared" si="0"/>
        <v>0</v>
      </c>
      <c r="F63" t="str">
        <f>_xlfn.XLOOKUP(C63,[2]Vinculo!$H:$H,[2]Vinculo!$L:$L,"-",0,1)</f>
        <v>-</v>
      </c>
    </row>
    <row r="64" spans="1:6" hidden="1" x14ac:dyDescent="0.25">
      <c r="A64">
        <v>63</v>
      </c>
      <c r="B64" t="s">
        <v>64</v>
      </c>
      <c r="C64" t="str">
        <f>_xlfn.XLOOKUP(B64,[1]Pendentes!$A:$A,[1]Pendentes!$G:$G,"-",0,1)</f>
        <v>fabio.feltrin@pucpr.br</v>
      </c>
      <c r="D64" t="str">
        <f>_xlfn.XLOOKUP(B64,[1]Pendentes!$A:$A,[1]Pendentes!$H:$H,"-",0,1)</f>
        <v>jeferson.thauny@pucpr.br</v>
      </c>
      <c r="E64" t="b">
        <f t="shared" si="0"/>
        <v>0</v>
      </c>
      <c r="F64" t="str">
        <f>_xlfn.XLOOKUP(C64,[2]Vinculo!$H:$H,[2]Vinculo!$L:$L,"-",0,1)</f>
        <v>-</v>
      </c>
    </row>
    <row r="65" spans="1:6" hidden="1" x14ac:dyDescent="0.25">
      <c r="A65">
        <v>64</v>
      </c>
      <c r="B65" t="s">
        <v>65</v>
      </c>
      <c r="C65" t="str">
        <f>_xlfn.XLOOKUP(B65,[1]Pendentes!$A:$A,[1]Pendentes!$G:$G,"-",0,1)</f>
        <v>felicio.asavioli@pucpr.br</v>
      </c>
      <c r="D65" t="str">
        <f>_xlfn.XLOOKUP(B65,[1]Pendentes!$A:$A,[1]Pendentes!$H:$H,"-",0,1)</f>
        <v>camila.giuliani@pucpr.br</v>
      </c>
      <c r="E65" t="b">
        <f t="shared" si="0"/>
        <v>0</v>
      </c>
      <c r="F65" t="str">
        <f>_xlfn.XLOOKUP(C65,[2]Vinculo!$H:$H,[2]Vinculo!$L:$L,"-",0,1)</f>
        <v>-</v>
      </c>
    </row>
    <row r="66" spans="1:6" hidden="1" x14ac:dyDescent="0.25">
      <c r="A66">
        <v>65</v>
      </c>
      <c r="B66" t="s">
        <v>66</v>
      </c>
      <c r="C66" t="str">
        <f>_xlfn.XLOOKUP(B66,[1]Pendentes!$A:$A,[1]Pendentes!$G:$G,"-",0,1)</f>
        <v>fernanda.pavesi@pucpr.br</v>
      </c>
      <c r="D66" t="str">
        <f>_xlfn.XLOOKUP(B66,[1]Pendentes!$A:$A,[1]Pendentes!$H:$H,"-",0,1)</f>
        <v>santos.clayton@pucpr.br</v>
      </c>
      <c r="E66" t="b">
        <f t="shared" si="0"/>
        <v>0</v>
      </c>
      <c r="F66" t="str">
        <f>_xlfn.XLOOKUP(C66,[2]Vinculo!$H:$H,[2]Vinculo!$L:$L,"-",0,1)</f>
        <v>nadina.moreno@pucpr.br</v>
      </c>
    </row>
    <row r="67" spans="1:6" x14ac:dyDescent="0.25">
      <c r="A67" s="1">
        <v>66</v>
      </c>
      <c r="B67" s="1" t="s">
        <v>67</v>
      </c>
      <c r="C67" s="1" t="str">
        <f>_xlfn.XLOOKUP(B67,[1]Pendentes!$A:$A,[1]Pendentes!$G:$G,"-",0,1)</f>
        <v>fernanda.o@pucpr.br</v>
      </c>
      <c r="D67" s="1" t="str">
        <f>_xlfn.XLOOKUP(B67,[1]Pendentes!$A:$A,[1]Pendentes!$H:$H,"-",0,1)</f>
        <v>fernanda.o@pucpr.br</v>
      </c>
      <c r="E67" s="1" t="b">
        <f t="shared" ref="E67:E130" si="1">D67=C67</f>
        <v>1</v>
      </c>
      <c r="F67" s="1" t="str">
        <f>_xlfn.XLOOKUP(C67,[2]Vinculo!$H:$H,[2]Vinculo!$L:$L,"-",0,1)</f>
        <v>j.knopfholz@pucpr.br</v>
      </c>
    </row>
    <row r="68" spans="1:6" hidden="1" x14ac:dyDescent="0.25">
      <c r="A68">
        <v>67</v>
      </c>
      <c r="B68" t="s">
        <v>68</v>
      </c>
      <c r="C68" t="str">
        <f>_xlfn.XLOOKUP(B68,[1]Pendentes!$A:$A,[1]Pendentes!$G:$G,"-",0,1)</f>
        <v>fernanda.massef@pucpr.br</v>
      </c>
      <c r="D68" t="str">
        <f>_xlfn.XLOOKUP(B68,[1]Pendentes!$A:$A,[1]Pendentes!$H:$H,"-",0,1)</f>
        <v>gabriela.veiga@pucpr.br</v>
      </c>
      <c r="E68" t="b">
        <f t="shared" si="1"/>
        <v>0</v>
      </c>
      <c r="F68" t="str">
        <f>_xlfn.XLOOKUP(C68,[2]Vinculo!$H:$H,[2]Vinculo!$L:$L,"-",0,1)</f>
        <v>-</v>
      </c>
    </row>
    <row r="69" spans="1:6" hidden="1" x14ac:dyDescent="0.25">
      <c r="A69">
        <v>68</v>
      </c>
      <c r="B69" t="s">
        <v>69</v>
      </c>
      <c r="C69" t="str">
        <f>_xlfn.XLOOKUP(B69,[1]Pendentes!$A:$A,[1]Pendentes!$G:$G,"-",0,1)</f>
        <v>raquel.fernanda@pucpr.br</v>
      </c>
      <c r="D69" t="str">
        <f>_xlfn.XLOOKUP(B69,[1]Pendentes!$A:$A,[1]Pendentes!$H:$H,"-",0,1)</f>
        <v>santos.clayton@pucpr.br</v>
      </c>
      <c r="E69" t="b">
        <f t="shared" si="1"/>
        <v>0</v>
      </c>
      <c r="F69" t="str">
        <f>_xlfn.XLOOKUP(C69,[2]Vinculo!$H:$H,[2]Vinculo!$L:$L,"-",0,1)</f>
        <v>-</v>
      </c>
    </row>
    <row r="70" spans="1:6" hidden="1" x14ac:dyDescent="0.25">
      <c r="A70">
        <v>69</v>
      </c>
      <c r="B70" t="s">
        <v>70</v>
      </c>
      <c r="C70" t="str">
        <f>_xlfn.XLOOKUP(B70,[1]Pendentes!$A:$A,[1]Pendentes!$G:$G,"-",0,1)</f>
        <v>flavia.costa@pucpr.br</v>
      </c>
      <c r="D70" t="str">
        <f>_xlfn.XLOOKUP(B70,[1]Pendentes!$A:$A,[1]Pendentes!$H:$H,"-",0,1)</f>
        <v>camila.giuliani@pucpr.br</v>
      </c>
      <c r="E70" t="b">
        <f t="shared" si="1"/>
        <v>0</v>
      </c>
      <c r="F70" t="str">
        <f>_xlfn.XLOOKUP(C70,[2]Vinculo!$H:$H,[2]Vinculo!$L:$L,"-",0,1)</f>
        <v>-</v>
      </c>
    </row>
    <row r="71" spans="1:6" hidden="1" x14ac:dyDescent="0.25">
      <c r="A71">
        <v>70</v>
      </c>
      <c r="B71" t="s">
        <v>71</v>
      </c>
      <c r="C71" t="str">
        <f>_xlfn.XLOOKUP(B71,[1]Pendentes!$A:$A,[1]Pendentes!$G:$G,"-",0,1)</f>
        <v>flavia.paula@pucpr.br</v>
      </c>
      <c r="D71" t="str">
        <f>_xlfn.XLOOKUP(B71,[1]Pendentes!$A:$A,[1]Pendentes!$H:$H,"-",0,1)</f>
        <v>camila.parana@pucpr.br</v>
      </c>
      <c r="E71" t="b">
        <f t="shared" si="1"/>
        <v>0</v>
      </c>
      <c r="F71" t="str">
        <f>_xlfn.XLOOKUP(C71,[2]Vinculo!$H:$H,[2]Vinculo!$L:$L,"-",0,1)</f>
        <v>-</v>
      </c>
    </row>
    <row r="72" spans="1:6" hidden="1" x14ac:dyDescent="0.25">
      <c r="A72">
        <v>71</v>
      </c>
      <c r="B72" t="s">
        <v>72</v>
      </c>
      <c r="C72" t="str">
        <f>_xlfn.XLOOKUP(B72,[1]Pendentes!$A:$A,[1]Pendentes!$G:$G,"-",0,1)</f>
        <v>flavia.kai@pucpr.br</v>
      </c>
      <c r="D72" t="str">
        <f>_xlfn.XLOOKUP(B72,[1]Pendentes!$A:$A,[1]Pendentes!$H:$H,"-",0,1)</f>
        <v>l.kava@pucpr.br</v>
      </c>
      <c r="E72" t="b">
        <f t="shared" si="1"/>
        <v>0</v>
      </c>
      <c r="F72" t="str">
        <f>_xlfn.XLOOKUP(C72,[2]Vinculo!$H:$H,[2]Vinculo!$L:$L,"-",0,1)</f>
        <v>miriam.mazo@pucpr.br</v>
      </c>
    </row>
    <row r="73" spans="1:6" hidden="1" x14ac:dyDescent="0.25">
      <c r="A73">
        <v>72</v>
      </c>
      <c r="B73" t="s">
        <v>73</v>
      </c>
      <c r="C73" t="str">
        <f>_xlfn.XLOOKUP(B73,[1]Pendentes!$A:$A,[1]Pendentes!$G:$G,"-",0,1)</f>
        <v>flavio.ivano@pucpr.br</v>
      </c>
      <c r="D73" t="str">
        <f>_xlfn.XLOOKUP(B73,[1]Pendentes!$A:$A,[1]Pendentes!$H:$H,"-",0,1)</f>
        <v>camila.giuliani@pucpr.br</v>
      </c>
      <c r="E73" t="b">
        <f t="shared" si="1"/>
        <v>0</v>
      </c>
      <c r="F73" t="str">
        <f>_xlfn.XLOOKUP(C73,[2]Vinculo!$H:$H,[2]Vinculo!$L:$L,"-",0,1)</f>
        <v>-</v>
      </c>
    </row>
    <row r="74" spans="1:6" hidden="1" x14ac:dyDescent="0.25">
      <c r="A74">
        <v>73</v>
      </c>
      <c r="B74" t="s">
        <v>74</v>
      </c>
      <c r="C74" t="str">
        <f>_xlfn.XLOOKUP(B74,[1]Pendentes!$A:$A,[1]Pendentes!$G:$G,"-",0,1)</f>
        <v>flavio.osten@pucpr.br</v>
      </c>
      <c r="D74" t="str">
        <f>_xlfn.XLOOKUP(B74,[1]Pendentes!$A:$A,[1]Pendentes!$H:$H,"-",0,1)</f>
        <v>l.kava@pucpr.br</v>
      </c>
      <c r="E74" t="b">
        <f t="shared" si="1"/>
        <v>0</v>
      </c>
      <c r="F74" t="str">
        <f>_xlfn.XLOOKUP(C74,[2]Vinculo!$H:$H,[2]Vinculo!$L:$L,"-",0,1)</f>
        <v>-</v>
      </c>
    </row>
    <row r="75" spans="1:6" hidden="1" x14ac:dyDescent="0.25">
      <c r="A75">
        <v>74</v>
      </c>
      <c r="B75" t="s">
        <v>75</v>
      </c>
      <c r="C75" t="str">
        <f>_xlfn.XLOOKUP(B75,[1]Pendentes!$A:$A,[1]Pendentes!$G:$G,"-",0,1)</f>
        <v>gibran.avelino@pucpr.br</v>
      </c>
      <c r="D75" t="str">
        <f>_xlfn.XLOOKUP(B75,[1]Pendentes!$A:$A,[1]Pendentes!$H:$H,"-",0,1)</f>
        <v>camila.giuliani@pucpr.br</v>
      </c>
      <c r="E75" t="b">
        <f t="shared" si="1"/>
        <v>0</v>
      </c>
      <c r="F75" t="str">
        <f>_xlfn.XLOOKUP(C75,[2]Vinculo!$H:$H,[2]Vinculo!$L:$L,"-",0,1)</f>
        <v>-</v>
      </c>
    </row>
    <row r="76" spans="1:6" hidden="1" x14ac:dyDescent="0.25">
      <c r="A76">
        <v>75</v>
      </c>
      <c r="B76" t="s">
        <v>76</v>
      </c>
      <c r="C76" t="str">
        <f>_xlfn.XLOOKUP(B76,[1]Pendentes!$A:$A,[1]Pendentes!$G:$G,"-",0,1)</f>
        <v>glaucio.moro@pucpr.br</v>
      </c>
      <c r="D76" t="str">
        <f>_xlfn.XLOOKUP(B76,[1]Pendentes!$A:$A,[1]Pendentes!$H:$H,"-",0,1)</f>
        <v>leonardo.goncalves@pucpr.br</v>
      </c>
      <c r="E76" t="b">
        <f t="shared" si="1"/>
        <v>0</v>
      </c>
      <c r="F76" t="str">
        <f>_xlfn.XLOOKUP(C76,[2]Vinculo!$H:$H,[2]Vinculo!$L:$L,"-",0,1)</f>
        <v>-</v>
      </c>
    </row>
    <row r="77" spans="1:6" hidden="1" x14ac:dyDescent="0.25">
      <c r="A77">
        <v>76</v>
      </c>
      <c r="B77" t="s">
        <v>77</v>
      </c>
      <c r="C77" t="str">
        <f>_xlfn.XLOOKUP(B77,[1]Pendentes!$A:$A,[1]Pendentes!$G:$G,"-",0,1)</f>
        <v>guilherme.gameiro@hospitalcajuru.com.br</v>
      </c>
      <c r="D77" t="str">
        <f>_xlfn.XLOOKUP(B77,[1]Pendentes!$A:$A,[1]Pendentes!$H:$H,"-",0,1)</f>
        <v>camila.giuliani@pucpr.br</v>
      </c>
      <c r="E77" t="b">
        <f t="shared" si="1"/>
        <v>0</v>
      </c>
      <c r="F77" t="str">
        <f>_xlfn.XLOOKUP(C77,[2]Vinculo!$H:$H,[2]Vinculo!$L:$L,"-",0,1)</f>
        <v>-</v>
      </c>
    </row>
    <row r="78" spans="1:6" hidden="1" x14ac:dyDescent="0.25">
      <c r="A78">
        <v>77</v>
      </c>
      <c r="B78" t="s">
        <v>78</v>
      </c>
      <c r="C78" t="str">
        <f>_xlfn.XLOOKUP(B78,[1]Pendentes!$A:$A,[1]Pendentes!$G:$G,"-",0,1)</f>
        <v>g.teixeira@pucpr.br</v>
      </c>
      <c r="D78" t="str">
        <f>_xlfn.XLOOKUP(B78,[1]Pendentes!$A:$A,[1]Pendentes!$H:$H,"-",0,1)</f>
        <v>adriana.valero@pucpr.br</v>
      </c>
      <c r="E78" t="b">
        <f t="shared" si="1"/>
        <v>0</v>
      </c>
      <c r="F78" t="str">
        <f>_xlfn.XLOOKUP(C78,[2]Vinculo!$H:$H,[2]Vinculo!$L:$L,"-",0,1)</f>
        <v>-</v>
      </c>
    </row>
    <row r="79" spans="1:6" hidden="1" x14ac:dyDescent="0.25">
      <c r="A79">
        <v>78</v>
      </c>
      <c r="B79" t="s">
        <v>79</v>
      </c>
      <c r="C79" t="str">
        <f>_xlfn.XLOOKUP(B79,[1]Pendentes!$A:$A,[1]Pendentes!$G:$G,"-",0,1)</f>
        <v>guilherme.gmuller@pucpr.br</v>
      </c>
      <c r="D79" t="str">
        <f>_xlfn.XLOOKUP(B79,[1]Pendentes!$A:$A,[1]Pendentes!$H:$H,"-",0,1)</f>
        <v>camila.giuliani@pucpr.br</v>
      </c>
      <c r="E79" t="b">
        <f t="shared" si="1"/>
        <v>0</v>
      </c>
      <c r="F79" t="str">
        <f>_xlfn.XLOOKUP(C79,[2]Vinculo!$H:$H,[2]Vinculo!$L:$L,"-",0,1)</f>
        <v>-</v>
      </c>
    </row>
    <row r="80" spans="1:6" hidden="1" x14ac:dyDescent="0.25">
      <c r="A80">
        <v>79</v>
      </c>
      <c r="B80" t="s">
        <v>80</v>
      </c>
      <c r="C80" t="str">
        <f>_xlfn.XLOOKUP(B80,[1]Pendentes!$A:$A,[1]Pendentes!$G:$G,"-",0,1)</f>
        <v>gustavo.blume@pucpr.br</v>
      </c>
      <c r="D80" t="str">
        <f>_xlfn.XLOOKUP(B80,[1]Pendentes!$A:$A,[1]Pendentes!$H:$H,"-",0,1)</f>
        <v>camila.giuliani@pucpr.br</v>
      </c>
      <c r="E80" t="b">
        <f t="shared" si="1"/>
        <v>0</v>
      </c>
      <c r="F80" t="str">
        <f>_xlfn.XLOOKUP(C80,[2]Vinculo!$H:$H,[2]Vinculo!$L:$L,"-",0,1)</f>
        <v>-</v>
      </c>
    </row>
    <row r="81" spans="1:6" x14ac:dyDescent="0.25">
      <c r="A81" s="1">
        <v>80</v>
      </c>
      <c r="B81" s="1" t="s">
        <v>81</v>
      </c>
      <c r="C81" s="1" t="str">
        <f>_xlfn.XLOOKUP(B81,[1]Pendentes!$A:$A,[1]Pendentes!$G:$G,"-",0,1)</f>
        <v>gustavo.grander@pucpr.br</v>
      </c>
      <c r="D81" s="1" t="str">
        <f>_xlfn.XLOOKUP(B81,[1]Pendentes!$A:$A,[1]Pendentes!$H:$H,"-",0,1)</f>
        <v>gustavo.grander@pucpr.br</v>
      </c>
      <c r="E81" s="1" t="b">
        <f t="shared" si="1"/>
        <v>1</v>
      </c>
      <c r="F81" s="1" t="str">
        <f>_xlfn.XLOOKUP(C81,[2]Vinculo!$H:$H,[2]Vinculo!$L:$L,"-",0,1)</f>
        <v>ricardo.lopes@pucpr.br</v>
      </c>
    </row>
    <row r="82" spans="1:6" hidden="1" x14ac:dyDescent="0.25">
      <c r="A82">
        <v>81</v>
      </c>
      <c r="B82" t="s">
        <v>82</v>
      </c>
      <c r="C82" t="str">
        <f>_xlfn.XLOOKUP(B82,[1]Pendentes!$A:$A,[1]Pendentes!$G:$G,"-",0,1)</f>
        <v>gustavo.franklin@pucpr.br</v>
      </c>
      <c r="D82" t="str">
        <f>_xlfn.XLOOKUP(B82,[1]Pendentes!$A:$A,[1]Pendentes!$H:$H,"-",0,1)</f>
        <v>camila.giuliani@pucpr.br</v>
      </c>
      <c r="E82" t="b">
        <f t="shared" si="1"/>
        <v>0</v>
      </c>
      <c r="F82" t="str">
        <f>_xlfn.XLOOKUP(C82,[2]Vinculo!$H:$H,[2]Vinculo!$L:$L,"-",0,1)</f>
        <v>-</v>
      </c>
    </row>
    <row r="83" spans="1:6" hidden="1" x14ac:dyDescent="0.25">
      <c r="A83">
        <v>82</v>
      </c>
      <c r="B83" t="s">
        <v>83</v>
      </c>
      <c r="C83" t="str">
        <f>_xlfn.XLOOKUP(B83,[1]Pendentes!$A:$A,[1]Pendentes!$G:$G,"-",0,1)</f>
        <v>helison.bertoli@pucpr.br</v>
      </c>
      <c r="D83" t="str">
        <f>_xlfn.XLOOKUP(B83,[1]Pendentes!$A:$A,[1]Pendentes!$H:$H,"-",0,1)</f>
        <v>l.kava@pucpr.br</v>
      </c>
      <c r="E83" t="b">
        <f t="shared" si="1"/>
        <v>0</v>
      </c>
      <c r="F83" t="str">
        <f>_xlfn.XLOOKUP(C83,[2]Vinculo!$H:$H,[2]Vinculo!$L:$L,"-",0,1)</f>
        <v>-</v>
      </c>
    </row>
    <row r="84" spans="1:6" hidden="1" x14ac:dyDescent="0.25">
      <c r="A84">
        <v>83</v>
      </c>
      <c r="B84" t="s">
        <v>84</v>
      </c>
      <c r="C84" t="str">
        <f>_xlfn.XLOOKUP(B84,[1]Pendentes!$A:$A,[1]Pendentes!$G:$G,"-",0,1)</f>
        <v>demeneck.henrique@pucpr.br</v>
      </c>
      <c r="D84" t="str">
        <f>_xlfn.XLOOKUP(B84,[1]Pendentes!$A:$A,[1]Pendentes!$H:$H,"-",0,1)</f>
        <v>camila.giuliani@pucpr.br</v>
      </c>
      <c r="E84" t="b">
        <f t="shared" si="1"/>
        <v>0</v>
      </c>
      <c r="F84" t="str">
        <f>_xlfn.XLOOKUP(C84,[2]Vinculo!$H:$H,[2]Vinculo!$L:$L,"-",0,1)</f>
        <v>-</v>
      </c>
    </row>
    <row r="85" spans="1:6" hidden="1" x14ac:dyDescent="0.25">
      <c r="A85">
        <v>84</v>
      </c>
      <c r="B85" t="s">
        <v>85</v>
      </c>
      <c r="C85" t="str">
        <f>_xlfn.XLOOKUP(B85,[1]Pendentes!$A:$A,[1]Pendentes!$G:$G,"-",0,1)</f>
        <v>holisses.bellon1@pucpr.br</v>
      </c>
      <c r="D85" t="str">
        <f>_xlfn.XLOOKUP(B85,[1]Pendentes!$A:$A,[1]Pendentes!$H:$H,"-",0,1)</f>
        <v>regina.fabia@pucpr.br</v>
      </c>
      <c r="E85" t="b">
        <f t="shared" si="1"/>
        <v>0</v>
      </c>
      <c r="F85" t="str">
        <f>_xlfn.XLOOKUP(C85,[2]Vinculo!$H:$H,[2]Vinculo!$L:$L,"-",0,1)</f>
        <v>-</v>
      </c>
    </row>
    <row r="86" spans="1:6" hidden="1" x14ac:dyDescent="0.25">
      <c r="A86">
        <v>85</v>
      </c>
      <c r="B86" t="s">
        <v>86</v>
      </c>
      <c r="C86" t="str">
        <f>_xlfn.XLOOKUP(B86,[1]Pendentes!$A:$A,[1]Pendentes!$G:$G,"-",0,1)</f>
        <v>horacio.moreira@pucpr.br</v>
      </c>
      <c r="D86" t="str">
        <f>_xlfn.XLOOKUP(B86,[1]Pendentes!$A:$A,[1]Pendentes!$H:$H,"-",0,1)</f>
        <v>luci.castro@pucpr.br</v>
      </c>
      <c r="E86" t="b">
        <f t="shared" si="1"/>
        <v>0</v>
      </c>
      <c r="F86" t="str">
        <f>_xlfn.XLOOKUP(C86,[2]Vinculo!$H:$H,[2]Vinculo!$L:$L,"-",0,1)</f>
        <v>-</v>
      </c>
    </row>
    <row r="87" spans="1:6" hidden="1" x14ac:dyDescent="0.25">
      <c r="A87">
        <v>86</v>
      </c>
      <c r="B87" t="s">
        <v>87</v>
      </c>
      <c r="C87" t="str">
        <f>_xlfn.XLOOKUP(B87,[1]Pendentes!$A:$A,[1]Pendentes!$G:$G,"-",0,1)</f>
        <v>hudson.prestes@pucpr.br</v>
      </c>
      <c r="D87" t="str">
        <f>_xlfn.XLOOKUP(B87,[1]Pendentes!$A:$A,[1]Pendentes!$H:$H,"-",0,1)</f>
        <v>jackson.bittencourt@pucpr.br</v>
      </c>
      <c r="E87" t="b">
        <f t="shared" si="1"/>
        <v>0</v>
      </c>
      <c r="F87" t="str">
        <f>_xlfn.XLOOKUP(C87,[2]Vinculo!$H:$H,[2]Vinculo!$L:$L,"-",0,1)</f>
        <v>-</v>
      </c>
    </row>
    <row r="88" spans="1:6" hidden="1" x14ac:dyDescent="0.25">
      <c r="A88">
        <v>87</v>
      </c>
      <c r="B88" t="s">
        <v>88</v>
      </c>
      <c r="C88" t="str">
        <f>_xlfn.XLOOKUP(B88,[1]Pendentes!$A:$A,[1]Pendentes!$G:$G,"-",0,1)</f>
        <v>hugo.lcorrea@pucpr.br</v>
      </c>
      <c r="D88" t="str">
        <f>_xlfn.XLOOKUP(B88,[1]Pendentes!$A:$A,[1]Pendentes!$H:$H,"-",0,1)</f>
        <v>francieli.mognon@pucpr.br</v>
      </c>
      <c r="E88" t="b">
        <f t="shared" si="1"/>
        <v>0</v>
      </c>
      <c r="F88" t="str">
        <f>_xlfn.XLOOKUP(C88,[2]Vinculo!$H:$H,[2]Vinculo!$L:$L,"-",0,1)</f>
        <v>-</v>
      </c>
    </row>
    <row r="89" spans="1:6" hidden="1" x14ac:dyDescent="0.25">
      <c r="A89">
        <v>88</v>
      </c>
      <c r="B89" t="s">
        <v>89</v>
      </c>
      <c r="C89" t="str">
        <f>_xlfn.XLOOKUP(B89,[1]Pendentes!$A:$A,[1]Pendentes!$G:$G,"-",0,1)</f>
        <v>isabela.nakanishi@pucpr.br</v>
      </c>
      <c r="D89" t="str">
        <f>_xlfn.XLOOKUP(B89,[1]Pendentes!$A:$A,[1]Pendentes!$H:$H,"-",0,1)</f>
        <v>luci.castro@pucpr.br</v>
      </c>
      <c r="E89" t="b">
        <f t="shared" si="1"/>
        <v>0</v>
      </c>
      <c r="F89" t="str">
        <f>_xlfn.XLOOKUP(C89,[2]Vinculo!$H:$H,[2]Vinculo!$L:$L,"-",0,1)</f>
        <v>-</v>
      </c>
    </row>
    <row r="90" spans="1:6" hidden="1" x14ac:dyDescent="0.25">
      <c r="A90">
        <v>89</v>
      </c>
      <c r="B90" t="s">
        <v>90</v>
      </c>
      <c r="C90" t="str">
        <f>_xlfn.XLOOKUP(B90,[1]Pendentes!$A:$A,[1]Pendentes!$G:$G,"-",0,1)</f>
        <v>jamile.riechi@pucpr.br</v>
      </c>
      <c r="D90" t="str">
        <f>_xlfn.XLOOKUP(B90,[1]Pendentes!$A:$A,[1]Pendentes!$H:$H,"-",0,1)</f>
        <v>luci.castro@pucpr.br</v>
      </c>
      <c r="E90" t="b">
        <f t="shared" si="1"/>
        <v>0</v>
      </c>
      <c r="F90" t="str">
        <f>_xlfn.XLOOKUP(C90,[2]Vinculo!$H:$H,[2]Vinculo!$L:$L,"-",0,1)</f>
        <v>-</v>
      </c>
    </row>
    <row r="91" spans="1:6" hidden="1" x14ac:dyDescent="0.25">
      <c r="A91">
        <v>90</v>
      </c>
      <c r="B91" t="s">
        <v>91</v>
      </c>
      <c r="C91" t="str">
        <f>_xlfn.XLOOKUP(B91,[1]Pendentes!$A:$A,[1]Pendentes!$G:$G,"-",0,1)</f>
        <v>janio.gabriel@pucpr.br</v>
      </c>
      <c r="D91" t="str">
        <f>_xlfn.XLOOKUP(B91,[1]Pendentes!$A:$A,[1]Pendentes!$H:$H,"-",0,1)</f>
        <v>ricardo.nabhen@pucpr.br</v>
      </c>
      <c r="E91" t="b">
        <f t="shared" si="1"/>
        <v>0</v>
      </c>
      <c r="F91" t="str">
        <f>_xlfn.XLOOKUP(C91,[2]Vinculo!$H:$H,[2]Vinculo!$L:$L,"-",0,1)</f>
        <v>-</v>
      </c>
    </row>
    <row r="92" spans="1:6" hidden="1" x14ac:dyDescent="0.25">
      <c r="A92">
        <v>91</v>
      </c>
      <c r="B92" t="s">
        <v>92</v>
      </c>
      <c r="C92" t="str">
        <f>_xlfn.XLOOKUP(B92,[1]Pendentes!$A:$A,[1]Pendentes!$G:$G,"-",0,1)</f>
        <v>jean.tafarel@pucpr.br</v>
      </c>
      <c r="D92" t="str">
        <f>_xlfn.XLOOKUP(B92,[1]Pendentes!$A:$A,[1]Pendentes!$H:$H,"-",0,1)</f>
        <v>camila.giuliani@pucpr.br</v>
      </c>
      <c r="E92" t="b">
        <f t="shared" si="1"/>
        <v>0</v>
      </c>
      <c r="F92" t="str">
        <f>_xlfn.XLOOKUP(C92,[2]Vinculo!$H:$H,[2]Vinculo!$L:$L,"-",0,1)</f>
        <v>j.knopfholz@pucpr.br</v>
      </c>
    </row>
    <row r="93" spans="1:6" hidden="1" x14ac:dyDescent="0.25">
      <c r="A93">
        <v>92</v>
      </c>
      <c r="B93" t="s">
        <v>93</v>
      </c>
      <c r="C93" t="str">
        <f>_xlfn.XLOOKUP(B93,[1]Pendentes!$A:$A,[1]Pendentes!$G:$G,"-",0,1)</f>
        <v>jelson.oliveira@pucpr.br</v>
      </c>
      <c r="D93" t="str">
        <f>_xlfn.XLOOKUP(B93,[1]Pendentes!$A:$A,[1]Pendentes!$H:$H,"-",0,1)</f>
        <v>geovani.moretto@pucpr.br</v>
      </c>
      <c r="E93" t="b">
        <f t="shared" si="1"/>
        <v>0</v>
      </c>
      <c r="F93" t="str">
        <f>_xlfn.XLOOKUP(C93,[2]Vinculo!$H:$H,[2]Vinculo!$L:$L,"-",0,1)</f>
        <v>-</v>
      </c>
    </row>
    <row r="94" spans="1:6" hidden="1" x14ac:dyDescent="0.25">
      <c r="A94">
        <v>93</v>
      </c>
      <c r="B94" t="s">
        <v>94</v>
      </c>
      <c r="C94" t="str">
        <f>_xlfn.XLOOKUP(B94,[1]Pendentes!$A:$A,[1]Pendentes!$G:$G,"-",0,1)</f>
        <v>jhonatan.geremias@pucpr.br</v>
      </c>
      <c r="D94" t="str">
        <f>_xlfn.XLOOKUP(B94,[1]Pendentes!$A:$A,[1]Pendentes!$H:$H,"-",0,1)</f>
        <v>cleber.kiel@pucpr.br</v>
      </c>
      <c r="E94" t="b">
        <f t="shared" si="1"/>
        <v>0</v>
      </c>
      <c r="F94" t="str">
        <f>_xlfn.XLOOKUP(C94,[2]Vinculo!$H:$H,[2]Vinculo!$L:$L,"-",0,1)</f>
        <v>-</v>
      </c>
    </row>
    <row r="95" spans="1:6" hidden="1" x14ac:dyDescent="0.25">
      <c r="A95">
        <v>94</v>
      </c>
      <c r="B95" t="s">
        <v>95</v>
      </c>
      <c r="C95" t="str">
        <f>_xlfn.XLOOKUP(B95,[1]Pendentes!$A:$A,[1]Pendentes!$G:$G,"-",0,1)</f>
        <v>joao.acoelho@pucpr.br</v>
      </c>
      <c r="D95" t="str">
        <f>_xlfn.XLOOKUP(B95,[1]Pendentes!$A:$A,[1]Pendentes!$H:$H,"-",0,1)</f>
        <v>adriana.valero@pucpr.br</v>
      </c>
      <c r="E95" t="b">
        <f t="shared" si="1"/>
        <v>0</v>
      </c>
      <c r="F95" t="str">
        <f>_xlfn.XLOOKUP(C95,[2]Vinculo!$H:$H,[2]Vinculo!$L:$L,"-",0,1)</f>
        <v>-</v>
      </c>
    </row>
    <row r="96" spans="1:6" hidden="1" x14ac:dyDescent="0.25">
      <c r="A96">
        <v>95</v>
      </c>
      <c r="B96" t="s">
        <v>96</v>
      </c>
      <c r="C96" t="str">
        <f>_xlfn.XLOOKUP(B96,[1]Pendentes!$A:$A,[1]Pendentes!$G:$G,"-",0,1)</f>
        <v>joelton.gotz@pucpr.br</v>
      </c>
      <c r="D96" t="str">
        <f>_xlfn.XLOOKUP(B96,[1]Pendentes!$A:$A,[1]Pendentes!$H:$H,"-",0,1)</f>
        <v>eduardo.lino@pucpr.br</v>
      </c>
      <c r="E96" t="b">
        <f t="shared" si="1"/>
        <v>0</v>
      </c>
      <c r="F96" t="str">
        <f>_xlfn.XLOOKUP(C96,[2]Vinculo!$H:$H,[2]Vinculo!$L:$L,"-",0,1)</f>
        <v>-</v>
      </c>
    </row>
    <row r="97" spans="1:6" hidden="1" x14ac:dyDescent="0.25">
      <c r="A97">
        <v>96</v>
      </c>
      <c r="B97" t="s">
        <v>97</v>
      </c>
      <c r="C97" t="str">
        <f>_xlfn.XLOOKUP(B97,[1]Pendentes!$A:$A,[1]Pendentes!$G:$G,"-",0,1)</f>
        <v>jones.schaefer@pucpr.br</v>
      </c>
      <c r="D97" t="str">
        <f>_xlfn.XLOOKUP(B97,[1]Pendentes!$A:$A,[1]Pendentes!$H:$H,"-",0,1)</f>
        <v>gabriela.veiga@pucpr.br</v>
      </c>
      <c r="E97" t="b">
        <f t="shared" si="1"/>
        <v>0</v>
      </c>
      <c r="F97" t="str">
        <f>_xlfn.XLOOKUP(C97,[2]Vinculo!$H:$H,[2]Vinculo!$L:$L,"-",0,1)</f>
        <v>-</v>
      </c>
    </row>
    <row r="98" spans="1:6" hidden="1" x14ac:dyDescent="0.25">
      <c r="A98">
        <v>97</v>
      </c>
      <c r="B98" t="s">
        <v>98</v>
      </c>
      <c r="C98" t="str">
        <f>_xlfn.XLOOKUP(B98,[1]Pendentes!$A:$A,[1]Pendentes!$G:$G,"-",0,1)</f>
        <v>joseth.jardim@pucpr.br</v>
      </c>
      <c r="D98" t="str">
        <f>_xlfn.XLOOKUP(B98,[1]Pendentes!$A:$A,[1]Pendentes!$H:$H,"-",0,1)</f>
        <v>camila.parana@pucpr.br</v>
      </c>
      <c r="E98" t="b">
        <f t="shared" si="1"/>
        <v>0</v>
      </c>
      <c r="F98" t="str">
        <f>_xlfn.XLOOKUP(C98,[2]Vinculo!$H:$H,[2]Vinculo!$L:$L,"-",0,1)</f>
        <v>-</v>
      </c>
    </row>
    <row r="99" spans="1:6" hidden="1" x14ac:dyDescent="0.25">
      <c r="A99">
        <v>98</v>
      </c>
      <c r="B99" t="s">
        <v>99</v>
      </c>
      <c r="C99" t="str">
        <f>_xlfn.XLOOKUP(B99,[1]Pendentes!$A:$A,[1]Pendentes!$G:$G,"-",0,1)</f>
        <v>juliana.noschang@pucpr.br</v>
      </c>
      <c r="D99" t="str">
        <f>_xlfn.XLOOKUP(B99,[1]Pendentes!$A:$A,[1]Pendentes!$H:$H,"-",0,1)</f>
        <v>l.kava@pucpr.br</v>
      </c>
      <c r="E99" t="b">
        <f t="shared" si="1"/>
        <v>0</v>
      </c>
      <c r="F99" t="str">
        <f>_xlfn.XLOOKUP(C99,[2]Vinculo!$H:$H,[2]Vinculo!$L:$L,"-",0,1)</f>
        <v>miriam.mazo@pucpr.br</v>
      </c>
    </row>
    <row r="100" spans="1:6" hidden="1" x14ac:dyDescent="0.25">
      <c r="A100">
        <v>99</v>
      </c>
      <c r="B100" t="s">
        <v>100</v>
      </c>
      <c r="C100" t="str">
        <f>_xlfn.XLOOKUP(B100,[1]Pendentes!$A:$A,[1]Pendentes!$G:$G,"-",0,1)</f>
        <v>juliano.trotta@pucpr.br</v>
      </c>
      <c r="D100" t="str">
        <f>_xlfn.XLOOKUP(B100,[1]Pendentes!$A:$A,[1]Pendentes!$H:$H,"-",0,1)</f>
        <v>camila.giuliani@pucpr.br</v>
      </c>
      <c r="E100" t="b">
        <f t="shared" si="1"/>
        <v>0</v>
      </c>
      <c r="F100" t="str">
        <f>_xlfn.XLOOKUP(C100,[2]Vinculo!$H:$H,[2]Vinculo!$L:$L,"-",0,1)</f>
        <v>-</v>
      </c>
    </row>
    <row r="101" spans="1:6" hidden="1" x14ac:dyDescent="0.25">
      <c r="A101">
        <v>100</v>
      </c>
      <c r="B101" t="s">
        <v>101</v>
      </c>
      <c r="C101" t="str">
        <f>_xlfn.XLOOKUP(B101,[1]Pendentes!$A:$A,[1]Pendentes!$G:$G,"-",0,1)</f>
        <v>juliano.munik@pucpr.br</v>
      </c>
      <c r="D101" t="str">
        <f>_xlfn.XLOOKUP(B101,[1]Pendentes!$A:$A,[1]Pendentes!$H:$H,"-",0,1)</f>
        <v>gabriela.veiga@pucpr.br</v>
      </c>
      <c r="E101" t="b">
        <f t="shared" si="1"/>
        <v>0</v>
      </c>
      <c r="F101" t="str">
        <f>_xlfn.XLOOKUP(C101,[2]Vinculo!$H:$H,[2]Vinculo!$L:$L,"-",0,1)</f>
        <v>-</v>
      </c>
    </row>
    <row r="102" spans="1:6" hidden="1" x14ac:dyDescent="0.25">
      <c r="A102">
        <v>101</v>
      </c>
      <c r="B102" t="s">
        <v>102</v>
      </c>
      <c r="C102" t="str">
        <f>_xlfn.XLOOKUP(B102,[1]Pendentes!$A:$A,[1]Pendentes!$G:$G,"-",0,1)</f>
        <v>moura.fernandes@hospitalmarcelino.com.br</v>
      </c>
      <c r="D102" t="str">
        <f>_xlfn.XLOOKUP(B102,[1]Pendentes!$A:$A,[1]Pendentes!$H:$H,"-",0,1)</f>
        <v>camila.giuliani@pucpr.br</v>
      </c>
      <c r="E102" t="b">
        <f t="shared" si="1"/>
        <v>0</v>
      </c>
      <c r="F102" t="str">
        <f>_xlfn.XLOOKUP(C102,[2]Vinculo!$H:$H,[2]Vinculo!$L:$L,"-",0,1)</f>
        <v>-</v>
      </c>
    </row>
    <row r="103" spans="1:6" hidden="1" x14ac:dyDescent="0.25">
      <c r="A103">
        <v>102</v>
      </c>
      <c r="B103" t="s">
        <v>103</v>
      </c>
      <c r="C103" t="str">
        <f>_xlfn.XLOOKUP(B103,[1]Pendentes!$A:$A,[1]Pendentes!$G:$G,"-",0,1)</f>
        <v>katia.terrin@pucpr.br</v>
      </c>
      <c r="D103" t="str">
        <f>_xlfn.XLOOKUP(B103,[1]Pendentes!$A:$A,[1]Pendentes!$H:$H,"-",0,1)</f>
        <v>santos.clayton@pucpr.br</v>
      </c>
      <c r="E103" t="b">
        <f t="shared" si="1"/>
        <v>0</v>
      </c>
      <c r="F103" t="str">
        <f>_xlfn.XLOOKUP(C103,[2]Vinculo!$H:$H,[2]Vinculo!$L:$L,"-",0,1)</f>
        <v>-</v>
      </c>
    </row>
    <row r="104" spans="1:6" hidden="1" x14ac:dyDescent="0.25">
      <c r="A104">
        <v>103</v>
      </c>
      <c r="B104" t="s">
        <v>104</v>
      </c>
      <c r="C104" t="str">
        <f>_xlfn.XLOOKUP(B104,[1]Pendentes!$A:$A,[1]Pendentes!$G:$G,"-",0,1)</f>
        <v>kelly.bettio@pucpr.br</v>
      </c>
      <c r="D104" t="str">
        <f>_xlfn.XLOOKUP(B104,[1]Pendentes!$A:$A,[1]Pendentes!$H:$H,"-",0,1)</f>
        <v>regina.fabia@pucpr.br</v>
      </c>
      <c r="E104" t="b">
        <f t="shared" si="1"/>
        <v>0</v>
      </c>
      <c r="F104" t="str">
        <f>_xlfn.XLOOKUP(C104,[2]Vinculo!$H:$H,[2]Vinculo!$L:$L,"-",0,1)</f>
        <v>-</v>
      </c>
    </row>
    <row r="105" spans="1:6" hidden="1" x14ac:dyDescent="0.25">
      <c r="A105">
        <v>104</v>
      </c>
      <c r="B105" t="s">
        <v>105</v>
      </c>
      <c r="C105" t="str">
        <f>_xlfn.XLOOKUP(B105,[1]Pendentes!$A:$A,[1]Pendentes!$G:$G,"-",0,1)</f>
        <v>kenzo.hokazono@pucpr.br</v>
      </c>
      <c r="D105" t="str">
        <f>_xlfn.XLOOKUP(B105,[1]Pendentes!$A:$A,[1]Pendentes!$H:$H,"-",0,1)</f>
        <v>camila.giuliani@pucpr.br</v>
      </c>
      <c r="E105" t="b">
        <f t="shared" si="1"/>
        <v>0</v>
      </c>
      <c r="F105" t="str">
        <f>_xlfn.XLOOKUP(C105,[2]Vinculo!$H:$H,[2]Vinculo!$L:$L,"-",0,1)</f>
        <v>-</v>
      </c>
    </row>
    <row r="106" spans="1:6" hidden="1" x14ac:dyDescent="0.25">
      <c r="A106">
        <v>105</v>
      </c>
      <c r="B106" t="s">
        <v>106</v>
      </c>
      <c r="C106" t="str">
        <f>_xlfn.XLOOKUP(B106,[1]Pendentes!$A:$A,[1]Pendentes!$G:$G,"-",0,1)</f>
        <v>kleber.c@pucpr.br</v>
      </c>
      <c r="D106" t="str">
        <f>_xlfn.XLOOKUP(B106,[1]Pendentes!$A:$A,[1]Pendentes!$H:$H,"-",0,1)</f>
        <v>geovani.moretto@pucpr.br</v>
      </c>
      <c r="E106" t="b">
        <f t="shared" si="1"/>
        <v>0</v>
      </c>
      <c r="F106" t="str">
        <f>_xlfn.XLOOKUP(C106,[2]Vinculo!$H:$H,[2]Vinculo!$L:$L,"-",0,1)</f>
        <v>-</v>
      </c>
    </row>
    <row r="107" spans="1:6" hidden="1" x14ac:dyDescent="0.25">
      <c r="A107">
        <v>106</v>
      </c>
      <c r="B107" t="s">
        <v>107</v>
      </c>
      <c r="C107" t="str">
        <f>_xlfn.XLOOKUP(B107,[1]Pendentes!$A:$A,[1]Pendentes!$G:$G,"-",0,1)</f>
        <v>leandro.catapam@pucpr.br</v>
      </c>
      <c r="D107" t="str">
        <f>_xlfn.XLOOKUP(B107,[1]Pendentes!$A:$A,[1]Pendentes!$H:$H,"-",0,1)</f>
        <v>leonardo.goncalves@pucpr.br</v>
      </c>
      <c r="E107" t="b">
        <f t="shared" si="1"/>
        <v>0</v>
      </c>
      <c r="F107" t="str">
        <f>_xlfn.XLOOKUP(C107,[2]Vinculo!$H:$H,[2]Vinculo!$L:$L,"-",0,1)</f>
        <v>-</v>
      </c>
    </row>
    <row r="108" spans="1:6" x14ac:dyDescent="0.25">
      <c r="A108" s="1">
        <v>107</v>
      </c>
      <c r="B108" s="1" t="s">
        <v>108</v>
      </c>
      <c r="C108" s="1" t="str">
        <f>_xlfn.XLOOKUP(B108,[1]Pendentes!$A:$A,[1]Pendentes!$G:$G,"-",0,1)</f>
        <v>leonardo.cavalheiro@pucpr.br</v>
      </c>
      <c r="D108" s="1" t="str">
        <f>_xlfn.XLOOKUP(B108,[1]Pendentes!$A:$A,[1]Pendentes!$H:$H,"-",0,1)</f>
        <v>leonardo.cavalheiro@pucpr.br</v>
      </c>
      <c r="E108" s="1" t="b">
        <f t="shared" si="1"/>
        <v>1</v>
      </c>
      <c r="F108" s="1" t="str">
        <f>_xlfn.XLOOKUP(C108,[2]Vinculo!$H:$H,[2]Vinculo!$L:$L,"-",0,1)</f>
        <v>marco.paludo@pucpr.br</v>
      </c>
    </row>
    <row r="109" spans="1:6" hidden="1" x14ac:dyDescent="0.25">
      <c r="A109">
        <v>108</v>
      </c>
      <c r="B109" t="s">
        <v>109</v>
      </c>
      <c r="C109" t="str">
        <f>_xlfn.XLOOKUP(B109,[1]Pendentes!$A:$A,[1]Pendentes!$G:$G,"-",0,1)</f>
        <v>levino.bertochi@pucpr.br</v>
      </c>
      <c r="D109" t="str">
        <f>_xlfn.XLOOKUP(B109,[1]Pendentes!$A:$A,[1]Pendentes!$H:$H,"-",0,1)</f>
        <v>l.kava@pucpr.br</v>
      </c>
      <c r="E109" t="b">
        <f t="shared" si="1"/>
        <v>0</v>
      </c>
      <c r="F109" t="str">
        <f>_xlfn.XLOOKUP(C109,[2]Vinculo!$H:$H,[2]Vinculo!$L:$L,"-",0,1)</f>
        <v>-</v>
      </c>
    </row>
    <row r="110" spans="1:6" hidden="1" x14ac:dyDescent="0.25">
      <c r="A110">
        <v>109</v>
      </c>
      <c r="B110" t="s">
        <v>110</v>
      </c>
      <c r="C110" t="str">
        <f>_xlfn.XLOOKUP(B110,[1]Pendentes!$A:$A,[1]Pendentes!$G:$G,"-",0,1)</f>
        <v>lidia.moura@pucpr.br</v>
      </c>
      <c r="D110" t="str">
        <f>_xlfn.XLOOKUP(B110,[1]Pendentes!$A:$A,[1]Pendentes!$H:$H,"-",0,1)</f>
        <v>camila.giuliani@pucpr.br</v>
      </c>
      <c r="E110" t="b">
        <f t="shared" si="1"/>
        <v>0</v>
      </c>
      <c r="F110" t="str">
        <f>_xlfn.XLOOKUP(C110,[2]Vinculo!$H:$H,[2]Vinculo!$L:$L,"-",0,1)</f>
        <v>-</v>
      </c>
    </row>
    <row r="111" spans="1:6" x14ac:dyDescent="0.25">
      <c r="A111" s="1">
        <v>110</v>
      </c>
      <c r="B111" s="1" t="s">
        <v>111</v>
      </c>
      <c r="C111" s="1" t="str">
        <f>_xlfn.XLOOKUP(B111,[1]Pendentes!$A:$A,[1]Pendentes!$G:$G,"-",0,1)</f>
        <v>l.kava@pucpr.br</v>
      </c>
      <c r="D111" s="1" t="str">
        <f>_xlfn.XLOOKUP(B111,[1]Pendentes!$A:$A,[1]Pendentes!$H:$H,"-",0,1)</f>
        <v>l.kava@pucpr.br</v>
      </c>
      <c r="E111" s="1" t="b">
        <f t="shared" si="1"/>
        <v>1</v>
      </c>
      <c r="F111" s="1" t="str">
        <f>_xlfn.XLOOKUP(C111,[2]Vinculo!$H:$H,[2]Vinculo!$L:$L,"-",0,1)</f>
        <v>miriam.mazo@pucpr.br</v>
      </c>
    </row>
    <row r="112" spans="1:6" hidden="1" x14ac:dyDescent="0.25">
      <c r="A112">
        <v>111</v>
      </c>
      <c r="B112" t="s">
        <v>112</v>
      </c>
      <c r="C112" t="str">
        <f>_xlfn.XLOOKUP(B112,[1]Pendentes!$A:$A,[1]Pendentes!$G:$G,"-",0,1)</f>
        <v>fernando.pereira@pucpr.br</v>
      </c>
      <c r="D112" t="str">
        <f>_xlfn.XLOOKUP(B112,[1]Pendentes!$A:$A,[1]Pendentes!$H:$H,"-",0,1)</f>
        <v>ana.greca@pucpr.br</v>
      </c>
      <c r="E112" t="b">
        <f t="shared" si="1"/>
        <v>0</v>
      </c>
      <c r="F112" t="str">
        <f>_xlfn.XLOOKUP(C112,[2]Vinculo!$H:$H,[2]Vinculo!$L:$L,"-",0,1)</f>
        <v>-</v>
      </c>
    </row>
    <row r="113" spans="1:6" hidden="1" x14ac:dyDescent="0.25">
      <c r="A113">
        <v>112</v>
      </c>
      <c r="B113" t="s">
        <v>113</v>
      </c>
      <c r="C113" t="str">
        <f>_xlfn.XLOOKUP(B113,[1]Pendentes!$A:$A,[1]Pendentes!$G:$G,"-",0,1)</f>
        <v>luiz.veloso@pucpr.br</v>
      </c>
      <c r="D113" t="str">
        <f>_xlfn.XLOOKUP(B113,[1]Pendentes!$A:$A,[1]Pendentes!$H:$H,"-",0,1)</f>
        <v>fabio.binder@pucpr.br</v>
      </c>
      <c r="E113" t="b">
        <f t="shared" si="1"/>
        <v>0</v>
      </c>
      <c r="F113" t="str">
        <f>_xlfn.XLOOKUP(C113,[2]Vinculo!$H:$H,[2]Vinculo!$L:$L,"-",0,1)</f>
        <v>-</v>
      </c>
    </row>
    <row r="114" spans="1:6" hidden="1" x14ac:dyDescent="0.25">
      <c r="A114">
        <v>113</v>
      </c>
      <c r="B114" t="s">
        <v>114</v>
      </c>
      <c r="C114" t="str">
        <f>_xlfn.XLOOKUP(B114,[1]Pendentes!$A:$A,[1]Pendentes!$G:$G,"-",0,1)</f>
        <v>luiza.sprung@pucpr.br</v>
      </c>
      <c r="D114" t="str">
        <f>_xlfn.XLOOKUP(B114,[1]Pendentes!$A:$A,[1]Pendentes!$H:$H,"-",0,1)</f>
        <v>camila.giuliani@pucpr.br</v>
      </c>
      <c r="E114" t="b">
        <f t="shared" si="1"/>
        <v>0</v>
      </c>
      <c r="F114" t="str">
        <f>_xlfn.XLOOKUP(C114,[2]Vinculo!$H:$H,[2]Vinculo!$L:$L,"-",0,1)</f>
        <v>-</v>
      </c>
    </row>
    <row r="115" spans="1:6" hidden="1" x14ac:dyDescent="0.25">
      <c r="A115">
        <v>114</v>
      </c>
      <c r="B115" t="s">
        <v>115</v>
      </c>
      <c r="C115" t="str">
        <f>_xlfn.XLOOKUP(B115,[1]Pendentes!$A:$A,[1]Pendentes!$G:$G,"-",0,1)</f>
        <v>luka.dlechinewski@pucpr.br</v>
      </c>
      <c r="D115" t="str">
        <f>_xlfn.XLOOKUP(B115,[1]Pendentes!$A:$A,[1]Pendentes!$H:$H,"-",0,1)</f>
        <v>camila.giuliani@pucpr.br</v>
      </c>
      <c r="E115" t="b">
        <f t="shared" si="1"/>
        <v>0</v>
      </c>
      <c r="F115" t="str">
        <f>_xlfn.XLOOKUP(C115,[2]Vinculo!$H:$H,[2]Vinculo!$L:$L,"-",0,1)</f>
        <v>-</v>
      </c>
    </row>
    <row r="116" spans="1:6" hidden="1" x14ac:dyDescent="0.25">
      <c r="A116">
        <v>115</v>
      </c>
      <c r="B116" t="s">
        <v>116</v>
      </c>
      <c r="C116" t="str">
        <f>_xlfn.XLOOKUP(B116,[1]Pendentes!$A:$A,[1]Pendentes!$G:$G,"-",0,1)</f>
        <v>maicris.fernandes@pucpr.br</v>
      </c>
      <c r="D116" t="str">
        <f>_xlfn.XLOOKUP(B116,[1]Pendentes!$A:$A,[1]Pendentes!$H:$H,"-",0,1)</f>
        <v>fabio.binder@pucpr.br</v>
      </c>
      <c r="E116" t="b">
        <f t="shared" si="1"/>
        <v>0</v>
      </c>
      <c r="F116" t="str">
        <f>_xlfn.XLOOKUP(C116,[2]Vinculo!$H:$H,[2]Vinculo!$L:$L,"-",0,1)</f>
        <v>-</v>
      </c>
    </row>
    <row r="117" spans="1:6" hidden="1" x14ac:dyDescent="0.25">
      <c r="A117">
        <v>116</v>
      </c>
      <c r="B117" t="s">
        <v>117</v>
      </c>
      <c r="C117" t="str">
        <f>_xlfn.XLOOKUP(B117,[1]Pendentes!$A:$A,[1]Pendentes!$G:$G,"-",0,1)</f>
        <v>m.pilonetto@pucpr.br</v>
      </c>
      <c r="D117" t="str">
        <f>_xlfn.XLOOKUP(B117,[1]Pendentes!$A:$A,[1]Pendentes!$H:$H,"-",0,1)</f>
        <v>camila.giuliani@pucpr.br</v>
      </c>
      <c r="E117" t="b">
        <f t="shared" si="1"/>
        <v>0</v>
      </c>
      <c r="F117" t="str">
        <f>_xlfn.XLOOKUP(C117,[2]Vinculo!$H:$H,[2]Vinculo!$L:$L,"-",0,1)</f>
        <v>-</v>
      </c>
    </row>
    <row r="118" spans="1:6" hidden="1" x14ac:dyDescent="0.25">
      <c r="A118">
        <v>117</v>
      </c>
      <c r="B118" t="s">
        <v>118</v>
      </c>
      <c r="C118" t="str">
        <f>_xlfn.XLOOKUP(B118,[1]Pendentes!$A:$A,[1]Pendentes!$G:$G,"-",0,1)</f>
        <v>marcia.malves@pucpr.br</v>
      </c>
      <c r="D118" t="str">
        <f>_xlfn.XLOOKUP(B118,[1]Pendentes!$A:$A,[1]Pendentes!$H:$H,"-",0,1)</f>
        <v>leonardo.goncalves@pucpr.br</v>
      </c>
      <c r="E118" t="b">
        <f t="shared" si="1"/>
        <v>0</v>
      </c>
      <c r="F118" t="str">
        <f>_xlfn.XLOOKUP(C118,[2]Vinculo!$H:$H,[2]Vinculo!$L:$L,"-",0,1)</f>
        <v>-</v>
      </c>
    </row>
    <row r="119" spans="1:6" hidden="1" x14ac:dyDescent="0.25">
      <c r="A119">
        <v>118</v>
      </c>
      <c r="B119" t="s">
        <v>119</v>
      </c>
      <c r="C119" t="str">
        <f>_xlfn.XLOOKUP(B119,[1]Pendentes!$A:$A,[1]Pendentes!$G:$G,"-",0,1)</f>
        <v>marcia.olandoski@pucpr.br</v>
      </c>
      <c r="D119" t="str">
        <f>_xlfn.XLOOKUP(B119,[1]Pendentes!$A:$A,[1]Pendentes!$H:$H,"-",0,1)</f>
        <v>camila.giuliani@pucpr.br</v>
      </c>
      <c r="E119" t="b">
        <f t="shared" si="1"/>
        <v>0</v>
      </c>
      <c r="F119" t="str">
        <f>_xlfn.XLOOKUP(C119,[2]Vinculo!$H:$H,[2]Vinculo!$L:$L,"-",0,1)</f>
        <v>-</v>
      </c>
    </row>
    <row r="120" spans="1:6" hidden="1" x14ac:dyDescent="0.25">
      <c r="A120">
        <v>119</v>
      </c>
      <c r="B120" t="s">
        <v>120</v>
      </c>
      <c r="C120" t="str">
        <f>_xlfn.XLOOKUP(B120,[1]Pendentes!$A:$A,[1]Pendentes!$G:$G,"-",0,1)</f>
        <v>marcia.oliveira@pucpr.br</v>
      </c>
      <c r="D120" t="str">
        <f>_xlfn.XLOOKUP(B120,[1]Pendentes!$A:$A,[1]Pendentes!$H:$H,"-",0,1)</f>
        <v>andrea.braga@pucpr.br</v>
      </c>
      <c r="E120" t="b">
        <f t="shared" si="1"/>
        <v>0</v>
      </c>
      <c r="F120" t="str">
        <f>_xlfn.XLOOKUP(C120,[2]Vinculo!$H:$H,[2]Vinculo!$L:$L,"-",0,1)</f>
        <v>-</v>
      </c>
    </row>
    <row r="121" spans="1:6" hidden="1" x14ac:dyDescent="0.25">
      <c r="A121">
        <v>120</v>
      </c>
      <c r="B121" t="s">
        <v>121</v>
      </c>
      <c r="C121" t="str">
        <f>_xlfn.XLOOKUP(B121,[1]Pendentes!$A:$A,[1]Pendentes!$G:$G,"-",0,1)</f>
        <v>marcio.luiz@pucpr.br</v>
      </c>
      <c r="D121" t="str">
        <f>_xlfn.XLOOKUP(B121,[1]Pendentes!$A:$A,[1]Pendentes!$H:$H,"-",0,1)</f>
        <v>cesar.leandro@pucpr.br</v>
      </c>
      <c r="E121" t="b">
        <f t="shared" si="1"/>
        <v>0</v>
      </c>
      <c r="F121" t="str">
        <f>_xlfn.XLOOKUP(C121,[2]Vinculo!$H:$H,[2]Vinculo!$L:$L,"-",0,1)</f>
        <v>-</v>
      </c>
    </row>
    <row r="122" spans="1:6" hidden="1" x14ac:dyDescent="0.25">
      <c r="A122">
        <v>121</v>
      </c>
      <c r="B122" t="s">
        <v>122</v>
      </c>
      <c r="C122" t="str">
        <f>_xlfn.XLOOKUP(B122,[1]Pendentes!$A:$A,[1]Pendentes!$G:$G,"-",0,1)</f>
        <v>marcio.segui@pucpr.br</v>
      </c>
      <c r="D122" t="str">
        <f>_xlfn.XLOOKUP(B122,[1]Pendentes!$A:$A,[1]Pendentes!$H:$H,"-",0,1)</f>
        <v>celina.duque@pucpr.br</v>
      </c>
      <c r="E122" t="b">
        <f t="shared" si="1"/>
        <v>0</v>
      </c>
      <c r="F122" t="str">
        <f>_xlfn.XLOOKUP(C122,[2]Vinculo!$H:$H,[2]Vinculo!$L:$L,"-",0,1)</f>
        <v>-</v>
      </c>
    </row>
    <row r="123" spans="1:6" hidden="1" x14ac:dyDescent="0.25">
      <c r="A123">
        <v>122</v>
      </c>
      <c r="B123" t="s">
        <v>123</v>
      </c>
      <c r="C123" t="str">
        <f>_xlfn.XLOOKUP(B123,[1]Pendentes!$A:$A,[1]Pendentes!$G:$G,"-",0,1)</f>
        <v>marco.jorge@pucpr.br</v>
      </c>
      <c r="D123" t="str">
        <f>_xlfn.XLOOKUP(B123,[1]Pendentes!$A:$A,[1]Pendentes!$H:$H,"-",0,1)</f>
        <v>camila.giuliani@pucpr.br</v>
      </c>
      <c r="E123" t="b">
        <f t="shared" si="1"/>
        <v>0</v>
      </c>
      <c r="F123" t="str">
        <f>_xlfn.XLOOKUP(C123,[2]Vinculo!$H:$H,[2]Vinculo!$L:$L,"-",0,1)</f>
        <v>-</v>
      </c>
    </row>
    <row r="124" spans="1:6" hidden="1" x14ac:dyDescent="0.25">
      <c r="A124">
        <v>123</v>
      </c>
      <c r="B124" t="s">
        <v>124</v>
      </c>
      <c r="C124" t="str">
        <f>_xlfn.XLOOKUP(B124,[1]Pendentes!$A:$A,[1]Pendentes!$G:$G,"-",0,1)</f>
        <v>mari.anastacio@pucpr.br</v>
      </c>
      <c r="D124" t="str">
        <f>_xlfn.XLOOKUP(B124,[1]Pendentes!$A:$A,[1]Pendentes!$H:$H,"-",0,1)</f>
        <v>claudio.skora@pucpr.br</v>
      </c>
      <c r="E124" t="b">
        <f t="shared" si="1"/>
        <v>0</v>
      </c>
      <c r="F124" t="str">
        <f>_xlfn.XLOOKUP(C124,[2]Vinculo!$H:$H,[2]Vinculo!$L:$L,"-",0,1)</f>
        <v>-</v>
      </c>
    </row>
    <row r="125" spans="1:6" x14ac:dyDescent="0.25">
      <c r="A125" s="1">
        <v>124</v>
      </c>
      <c r="B125" s="1" t="s">
        <v>125</v>
      </c>
      <c r="C125" s="1" t="str">
        <f>_xlfn.XLOOKUP(B125,[1]Pendentes!$A:$A,[1]Pendentes!$G:$G,"-",0,1)</f>
        <v>maria.witt@pucpr.br</v>
      </c>
      <c r="D125" s="1" t="str">
        <f>_xlfn.XLOOKUP(B125,[1]Pendentes!$A:$A,[1]Pendentes!$H:$H,"-",0,1)</f>
        <v>maria.witt@pucpr.br</v>
      </c>
      <c r="E125" s="1" t="b">
        <f t="shared" si="1"/>
        <v>1</v>
      </c>
      <c r="F125" s="1" t="str">
        <f>_xlfn.XLOOKUP(C125,[2]Vinculo!$H:$H,[2]Vinculo!$L:$L,"-",0,1)</f>
        <v>c.candiotto@pucpr.br</v>
      </c>
    </row>
    <row r="126" spans="1:6" hidden="1" x14ac:dyDescent="0.25">
      <c r="A126">
        <v>125</v>
      </c>
      <c r="B126" t="s">
        <v>126</v>
      </c>
      <c r="C126" t="str">
        <f>_xlfn.XLOOKUP(B126,[1]Pendentes!$A:$A,[1]Pendentes!$G:$G,"-",0,1)</f>
        <v>maria.figueroa@pucpr.br</v>
      </c>
      <c r="D126" t="str">
        <f>_xlfn.XLOOKUP(B126,[1]Pendentes!$A:$A,[1]Pendentes!$H:$H,"-",0,1)</f>
        <v>camila.giuliani@pucpr.br</v>
      </c>
      <c r="E126" t="b">
        <f t="shared" si="1"/>
        <v>0</v>
      </c>
      <c r="F126" t="str">
        <f>_xlfn.XLOOKUP(C126,[2]Vinculo!$H:$H,[2]Vinculo!$L:$L,"-",0,1)</f>
        <v>-</v>
      </c>
    </row>
    <row r="127" spans="1:6" hidden="1" x14ac:dyDescent="0.25">
      <c r="A127">
        <v>126</v>
      </c>
      <c r="B127" t="s">
        <v>127</v>
      </c>
      <c r="C127" t="str">
        <f>_xlfn.XLOOKUP(B127,[1]Pendentes!$A:$A,[1]Pendentes!$G:$G,"-",0,1)</f>
        <v>maria.peralta-del@pucpr.br</v>
      </c>
      <c r="D127" t="str">
        <f>_xlfn.XLOOKUP(B127,[1]Pendentes!$A:$A,[1]Pendentes!$H:$H,"-",0,1)</f>
        <v>camila.giuliani@pucpr.br</v>
      </c>
      <c r="E127" t="b">
        <f t="shared" si="1"/>
        <v>0</v>
      </c>
      <c r="F127" t="str">
        <f>_xlfn.XLOOKUP(C127,[2]Vinculo!$H:$H,[2]Vinculo!$L:$L,"-",0,1)</f>
        <v>-</v>
      </c>
    </row>
    <row r="128" spans="1:6" hidden="1" x14ac:dyDescent="0.25">
      <c r="A128">
        <v>127</v>
      </c>
      <c r="B128" t="s">
        <v>128</v>
      </c>
      <c r="C128" t="str">
        <f>_xlfn.XLOOKUP(B128,[1]Pendentes!$A:$A,[1]Pendentes!$G:$G,"-",0,1)</f>
        <v>maria.ipereira@pucpr.br</v>
      </c>
      <c r="D128" t="str">
        <f>_xlfn.XLOOKUP(B128,[1]Pendentes!$A:$A,[1]Pendentes!$H:$H,"-",0,1)</f>
        <v>luci.castro@pucpr.br</v>
      </c>
      <c r="E128" t="b">
        <f t="shared" si="1"/>
        <v>0</v>
      </c>
      <c r="F128" t="str">
        <f>_xlfn.XLOOKUP(C128,[2]Vinculo!$H:$H,[2]Vinculo!$L:$L,"-",0,1)</f>
        <v>-</v>
      </c>
    </row>
    <row r="129" spans="1:6" hidden="1" x14ac:dyDescent="0.25">
      <c r="A129">
        <v>128</v>
      </c>
      <c r="B129" t="s">
        <v>129</v>
      </c>
      <c r="C129" t="str">
        <f>_xlfn.XLOOKUP(B129,[1]Pendentes!$A:$A,[1]Pendentes!$G:$G,"-",0,1)</f>
        <v>collete.mariana@pucpr.br</v>
      </c>
      <c r="D129" t="str">
        <f>_xlfn.XLOOKUP(B129,[1]Pendentes!$A:$A,[1]Pendentes!$H:$H,"-",0,1)</f>
        <v>luci.castro@pucpr.br</v>
      </c>
      <c r="E129" t="b">
        <f t="shared" si="1"/>
        <v>0</v>
      </c>
      <c r="F129" t="str">
        <f>_xlfn.XLOOKUP(C129,[2]Vinculo!$H:$H,[2]Vinculo!$L:$L,"-",0,1)</f>
        <v>-</v>
      </c>
    </row>
    <row r="130" spans="1:6" hidden="1" x14ac:dyDescent="0.25">
      <c r="A130">
        <v>129</v>
      </c>
      <c r="B130" t="s">
        <v>130</v>
      </c>
      <c r="C130" t="str">
        <f>_xlfn.XLOOKUP(B130,[1]Pendentes!$A:$A,[1]Pendentes!$G:$G,"-",0,1)</f>
        <v>mariana.couto@pucpr.br</v>
      </c>
      <c r="D130" t="str">
        <f>_xlfn.XLOOKUP(B130,[1]Pendentes!$A:$A,[1]Pendentes!$H:$H,"-",0,1)</f>
        <v>francine.valenga@pucpr.br</v>
      </c>
      <c r="E130" t="b">
        <f t="shared" si="1"/>
        <v>0</v>
      </c>
      <c r="F130" t="str">
        <f>_xlfn.XLOOKUP(C130,[2]Vinculo!$H:$H,[2]Vinculo!$L:$L,"-",0,1)</f>
        <v>-</v>
      </c>
    </row>
    <row r="131" spans="1:6" hidden="1" x14ac:dyDescent="0.25">
      <c r="A131">
        <v>130</v>
      </c>
      <c r="B131" t="s">
        <v>131</v>
      </c>
      <c r="C131" t="str">
        <f>_xlfn.XLOOKUP(B131,[1]Pendentes!$A:$A,[1]Pendentes!$G:$G,"-",0,1)</f>
        <v>marion.burger@pucpr.br</v>
      </c>
      <c r="D131" t="str">
        <f>_xlfn.XLOOKUP(B131,[1]Pendentes!$A:$A,[1]Pendentes!$H:$H,"-",0,1)</f>
        <v>camila.giuliani@pucpr.br</v>
      </c>
      <c r="E131" t="b">
        <f t="shared" ref="E131:E194" si="2">D131=C131</f>
        <v>0</v>
      </c>
      <c r="F131" t="str">
        <f>_xlfn.XLOOKUP(C131,[2]Vinculo!$H:$H,[2]Vinculo!$L:$L,"-",0,1)</f>
        <v>-</v>
      </c>
    </row>
    <row r="132" spans="1:6" hidden="1" x14ac:dyDescent="0.25">
      <c r="A132">
        <v>131</v>
      </c>
      <c r="B132" t="s">
        <v>132</v>
      </c>
      <c r="C132" t="str">
        <f>_xlfn.XLOOKUP(B132,[1]Pendentes!$A:$A,[1]Pendentes!$G:$G,"-",0,1)</f>
        <v>m.corradi@pucpr.br</v>
      </c>
      <c r="D132" t="str">
        <f>_xlfn.XLOOKUP(B132,[1]Pendentes!$A:$A,[1]Pendentes!$H:$H,"-",0,1)</f>
        <v>luana.tonin@pucpr.br</v>
      </c>
      <c r="E132" t="b">
        <f t="shared" si="2"/>
        <v>0</v>
      </c>
      <c r="F132" t="str">
        <f>_xlfn.XLOOKUP(C132,[2]Vinculo!$H:$H,[2]Vinculo!$L:$L,"-",0,1)</f>
        <v>-</v>
      </c>
    </row>
    <row r="133" spans="1:6" hidden="1" x14ac:dyDescent="0.25">
      <c r="A133">
        <v>132</v>
      </c>
      <c r="B133" t="s">
        <v>133</v>
      </c>
      <c r="C133" t="str">
        <f>_xlfn.XLOOKUP(B133,[1]Pendentes!$A:$A,[1]Pendentes!$G:$G,"-",0,1)</f>
        <v>marisse.queiroz@pucpr.br</v>
      </c>
      <c r="D133" t="str">
        <f>_xlfn.XLOOKUP(B133,[1]Pendentes!$A:$A,[1]Pendentes!$H:$H,"-",0,1)</f>
        <v>santos.clayton@pucpr.br</v>
      </c>
      <c r="E133" t="b">
        <f t="shared" si="2"/>
        <v>0</v>
      </c>
      <c r="F133" t="str">
        <f>_xlfn.XLOOKUP(C133,[2]Vinculo!$H:$H,[2]Vinculo!$L:$L,"-",0,1)</f>
        <v>-</v>
      </c>
    </row>
    <row r="134" spans="1:6" hidden="1" x14ac:dyDescent="0.25">
      <c r="A134">
        <v>133</v>
      </c>
      <c r="B134" t="s">
        <v>134</v>
      </c>
      <c r="C134" t="str">
        <f>_xlfn.XLOOKUP(B134,[1]Pendentes!$A:$A,[1]Pendentes!$G:$G,"-",0,1)</f>
        <v>mark.joselli@pucpr.br</v>
      </c>
      <c r="D134" t="str">
        <f>_xlfn.XLOOKUP(B134,[1]Pendentes!$A:$A,[1]Pendentes!$H:$H,"-",0,1)</f>
        <v>fabio.binder@pucpr.br</v>
      </c>
      <c r="E134" t="b">
        <f t="shared" si="2"/>
        <v>0</v>
      </c>
      <c r="F134" t="str">
        <f>_xlfn.XLOOKUP(C134,[2]Vinculo!$H:$H,[2]Vinculo!$L:$L,"-",0,1)</f>
        <v>-</v>
      </c>
    </row>
    <row r="135" spans="1:6" hidden="1" x14ac:dyDescent="0.25">
      <c r="A135">
        <v>134</v>
      </c>
      <c r="B135" t="s">
        <v>135</v>
      </c>
      <c r="C135" t="str">
        <f>_xlfn.XLOOKUP(B135,[1]Pendentes!$A:$A,[1]Pendentes!$G:$G,"-",0,1)</f>
        <v>mauren.souza@pucpr.br</v>
      </c>
      <c r="D135" t="str">
        <f>_xlfn.XLOOKUP(B135,[1]Pendentes!$A:$A,[1]Pendentes!$H:$H,"-",0,1)</f>
        <v>francine.valenga@pucpr.br</v>
      </c>
      <c r="E135" t="b">
        <f t="shared" si="2"/>
        <v>0</v>
      </c>
      <c r="F135" t="str">
        <f>_xlfn.XLOOKUP(C135,[2]Vinculo!$H:$H,[2]Vinculo!$L:$L,"-",0,1)</f>
        <v>-</v>
      </c>
    </row>
    <row r="136" spans="1:6" hidden="1" x14ac:dyDescent="0.25">
      <c r="A136">
        <v>135</v>
      </c>
      <c r="B136" t="s">
        <v>136</v>
      </c>
      <c r="C136" t="str">
        <f>_xlfn.XLOOKUP(B136,[1]Pendentes!$A:$A,[1]Pendentes!$G:$G,"-",0,1)</f>
        <v>mauricio.montemezzo@pucpr.br</v>
      </c>
      <c r="D136" t="str">
        <f>_xlfn.XLOOKUP(B136,[1]Pendentes!$A:$A,[1]Pendentes!$H:$H,"-",0,1)</f>
        <v>camila.giuliani@pucpr.br</v>
      </c>
      <c r="E136" t="b">
        <f t="shared" si="2"/>
        <v>0</v>
      </c>
      <c r="F136" t="str">
        <f>_xlfn.XLOOKUP(C136,[2]Vinculo!$H:$H,[2]Vinculo!$L:$L,"-",0,1)</f>
        <v>-</v>
      </c>
    </row>
    <row r="137" spans="1:6" hidden="1" x14ac:dyDescent="0.25">
      <c r="A137">
        <v>136</v>
      </c>
      <c r="B137" t="s">
        <v>137</v>
      </c>
      <c r="C137" t="str">
        <f>_xlfn.XLOOKUP(B137,[1]Pendentes!$A:$A,[1]Pendentes!$G:$G,"-",0,1)</f>
        <v>mauricio.neves@pucpr.br</v>
      </c>
      <c r="D137" t="str">
        <f>_xlfn.XLOOKUP(B137,[1]Pendentes!$A:$A,[1]Pendentes!$H:$H,"-",0,1)</f>
        <v>bruno.paula@pucpr.br</v>
      </c>
      <c r="E137" t="b">
        <f t="shared" si="2"/>
        <v>0</v>
      </c>
      <c r="F137" t="str">
        <f>_xlfn.XLOOKUP(C137,[2]Vinculo!$H:$H,[2]Vinculo!$L:$L,"-",0,1)</f>
        <v>-</v>
      </c>
    </row>
    <row r="138" spans="1:6" hidden="1" x14ac:dyDescent="0.25">
      <c r="A138">
        <v>137</v>
      </c>
      <c r="B138" t="s">
        <v>138</v>
      </c>
      <c r="C138" t="str">
        <f>_xlfn.XLOOKUP(B138,[1]Pendentes!$A:$A,[1]Pendentes!$G:$G,"-",0,1)</f>
        <v>mauro.pellissari@pucpr.br</v>
      </c>
      <c r="D138" t="str">
        <f>_xlfn.XLOOKUP(B138,[1]Pendentes!$A:$A,[1]Pendentes!$H:$H,"-",0,1)</f>
        <v>geovani.moretto@pucpr.br</v>
      </c>
      <c r="E138" t="b">
        <f t="shared" si="2"/>
        <v>0</v>
      </c>
      <c r="F138" t="str">
        <f>_xlfn.XLOOKUP(C138,[2]Vinculo!$H:$H,[2]Vinculo!$L:$L,"-",0,1)</f>
        <v>-</v>
      </c>
    </row>
    <row r="139" spans="1:6" hidden="1" x14ac:dyDescent="0.25">
      <c r="A139">
        <v>138</v>
      </c>
      <c r="B139" t="s">
        <v>139</v>
      </c>
      <c r="C139" t="str">
        <f>_xlfn.XLOOKUP(B139,[1]Pendentes!$A:$A,[1]Pendentes!$G:$G,"-",0,1)</f>
        <v>milene.vieira@pucpr.br</v>
      </c>
      <c r="D139" t="str">
        <f>_xlfn.XLOOKUP(B139,[1]Pendentes!$A:$A,[1]Pendentes!$H:$H,"-",0,1)</f>
        <v>luci.castro@pucpr.br</v>
      </c>
      <c r="E139" t="b">
        <f t="shared" si="2"/>
        <v>0</v>
      </c>
      <c r="F139" t="str">
        <f>_xlfn.XLOOKUP(C139,[2]Vinculo!$H:$H,[2]Vinculo!$L:$L,"-",0,1)</f>
        <v>-</v>
      </c>
    </row>
    <row r="140" spans="1:6" hidden="1" x14ac:dyDescent="0.25">
      <c r="A140">
        <v>139</v>
      </c>
      <c r="B140" t="s">
        <v>140</v>
      </c>
      <c r="C140" t="str">
        <f>_xlfn.XLOOKUP(B140,[1]Pendentes!$A:$A,[1]Pendentes!$G:$G,"-",0,1)</f>
        <v>mirian.castellain@pucpr.br</v>
      </c>
      <c r="D140" t="str">
        <f>_xlfn.XLOOKUP(B140,[1]Pendentes!$A:$A,[1]Pendentes!$H:$H,"-",0,1)</f>
        <v>daniele.saheb@pucpr.br</v>
      </c>
      <c r="E140" t="b">
        <f t="shared" si="2"/>
        <v>0</v>
      </c>
      <c r="F140" t="str">
        <f>_xlfn.XLOOKUP(C140,[2]Vinculo!$H:$H,[2]Vinculo!$L:$L,"-",0,1)</f>
        <v>-</v>
      </c>
    </row>
    <row r="141" spans="1:6" hidden="1" x14ac:dyDescent="0.25">
      <c r="A141">
        <v>140</v>
      </c>
      <c r="B141" t="s">
        <v>141</v>
      </c>
      <c r="C141" t="str">
        <f>_xlfn.XLOOKUP(B141,[1]Pendentes!$A:$A,[1]Pendentes!$G:$G,"-",0,1)</f>
        <v>nairana.bussler@pucpr.br</v>
      </c>
      <c r="D141" t="str">
        <f>_xlfn.XLOOKUP(B141,[1]Pendentes!$A:$A,[1]Pendentes!$H:$H,"-",0,1)</f>
        <v>claudio.skora@pucpr.br</v>
      </c>
      <c r="E141" t="b">
        <f t="shared" si="2"/>
        <v>0</v>
      </c>
      <c r="F141" t="str">
        <f>_xlfn.XLOOKUP(C141,[2]Vinculo!$H:$H,[2]Vinculo!$L:$L,"-",0,1)</f>
        <v>-</v>
      </c>
    </row>
    <row r="142" spans="1:6" hidden="1" x14ac:dyDescent="0.25">
      <c r="A142">
        <v>141</v>
      </c>
      <c r="B142" t="s">
        <v>142</v>
      </c>
      <c r="C142" t="str">
        <f>_xlfn.XLOOKUP(B142,[1]Pendentes!$A:$A,[1]Pendentes!$G:$G,"-",0,1)</f>
        <v>natalia.casantos@pucpr.br</v>
      </c>
      <c r="D142" t="str">
        <f>_xlfn.XLOOKUP(B142,[1]Pendentes!$A:$A,[1]Pendentes!$H:$H,"-",0,1)</f>
        <v>willian.brosa@pucpr.br</v>
      </c>
      <c r="E142" t="b">
        <f t="shared" si="2"/>
        <v>0</v>
      </c>
      <c r="F142" t="str">
        <f>_xlfn.XLOOKUP(C142,[2]Vinculo!$H:$H,[2]Vinculo!$L:$L,"-",0,1)</f>
        <v>-</v>
      </c>
    </row>
    <row r="143" spans="1:6" hidden="1" x14ac:dyDescent="0.25">
      <c r="A143">
        <v>142</v>
      </c>
      <c r="B143" t="s">
        <v>143</v>
      </c>
      <c r="C143" t="str">
        <f>_xlfn.XLOOKUP(B143,[1]Pendentes!$A:$A,[1]Pendentes!$G:$G,"-",0,1)</f>
        <v>nelisa.picolotto@pucpr.br</v>
      </c>
      <c r="D143" t="str">
        <f>_xlfn.XLOOKUP(B143,[1]Pendentes!$A:$A,[1]Pendentes!$H:$H,"-",0,1)</f>
        <v>francine.valenga@pucpr.br</v>
      </c>
      <c r="E143" t="b">
        <f t="shared" si="2"/>
        <v>0</v>
      </c>
      <c r="F143" t="str">
        <f>_xlfn.XLOOKUP(C143,[2]Vinculo!$H:$H,[2]Vinculo!$L:$L,"-",0,1)</f>
        <v>-</v>
      </c>
    </row>
    <row r="144" spans="1:6" hidden="1" x14ac:dyDescent="0.25">
      <c r="A144">
        <v>143</v>
      </c>
      <c r="B144" t="s">
        <v>144</v>
      </c>
      <c r="C144" t="str">
        <f>_xlfn.XLOOKUP(B144,[1]Pendentes!$A:$A,[1]Pendentes!$G:$G,"-",0,1)</f>
        <v>nicole.clima@pucpr.br</v>
      </c>
      <c r="D144" t="str">
        <f>_xlfn.XLOOKUP(B144,[1]Pendentes!$A:$A,[1]Pendentes!$H:$H,"-",0,1)</f>
        <v>leonardo.goncalves@pucpr.br</v>
      </c>
      <c r="E144" t="b">
        <f t="shared" si="2"/>
        <v>0</v>
      </c>
      <c r="F144" t="str">
        <f>_xlfn.XLOOKUP(C144,[2]Vinculo!$H:$H,[2]Vinculo!$L:$L,"-",0,1)</f>
        <v>-</v>
      </c>
    </row>
    <row r="145" spans="1:6" hidden="1" x14ac:dyDescent="0.25">
      <c r="A145">
        <v>144</v>
      </c>
      <c r="B145" t="s">
        <v>145</v>
      </c>
      <c r="C145" t="str">
        <f>_xlfn.XLOOKUP(B145,[1]Pendentes!$A:$A,[1]Pendentes!$G:$G,"-",0,1)</f>
        <v>olimpio.filho@pucpr.br</v>
      </c>
      <c r="D145" t="str">
        <f>_xlfn.XLOOKUP(B145,[1]Pendentes!$A:$A,[1]Pendentes!$H:$H,"-",0,1)</f>
        <v>francine.valenga@pucpr.br</v>
      </c>
      <c r="E145" t="b">
        <f t="shared" si="2"/>
        <v>0</v>
      </c>
      <c r="F145" t="str">
        <f>_xlfn.XLOOKUP(C145,[2]Vinculo!$H:$H,[2]Vinculo!$L:$L,"-",0,1)</f>
        <v>-</v>
      </c>
    </row>
    <row r="146" spans="1:6" hidden="1" x14ac:dyDescent="0.25">
      <c r="A146">
        <v>145</v>
      </c>
      <c r="B146" t="s">
        <v>146</v>
      </c>
      <c r="C146" t="str">
        <f>_xlfn.XLOOKUP(B146,[1]Pendentes!$A:$A,[1]Pendentes!$G:$G,"-",0,1)</f>
        <v>tanaka.o@pucpr.br</v>
      </c>
      <c r="D146" t="str">
        <f>_xlfn.XLOOKUP(B146,[1]Pendentes!$A:$A,[1]Pendentes!$H:$H,"-",0,1)</f>
        <v>everdan.carneiro@pucpr.br</v>
      </c>
      <c r="E146" t="b">
        <f t="shared" si="2"/>
        <v>0</v>
      </c>
      <c r="F146" t="str">
        <f>_xlfn.XLOOKUP(C146,[2]Vinculo!$H:$H,[2]Vinculo!$L:$L,"-",0,1)</f>
        <v>-</v>
      </c>
    </row>
    <row r="147" spans="1:6" hidden="1" x14ac:dyDescent="0.25">
      <c r="A147">
        <v>146</v>
      </c>
      <c r="B147" t="s">
        <v>147</v>
      </c>
      <c r="C147" t="str">
        <f>_xlfn.XLOOKUP(B147,[1]Pendentes!$A:$A,[1]Pendentes!$G:$G,"-",0,1)</f>
        <v>otto.silva@pucpr.br</v>
      </c>
      <c r="D147" t="str">
        <f>_xlfn.XLOOKUP(B147,[1]Pendentes!$A:$A,[1]Pendentes!$H:$H,"-",0,1)</f>
        <v>cristian.schmidt@pucpr.br</v>
      </c>
      <c r="E147" t="b">
        <f t="shared" si="2"/>
        <v>0</v>
      </c>
      <c r="F147" t="str">
        <f>_xlfn.XLOOKUP(C147,[2]Vinculo!$H:$H,[2]Vinculo!$L:$L,"-",0,1)</f>
        <v>-</v>
      </c>
    </row>
    <row r="148" spans="1:6" hidden="1" x14ac:dyDescent="0.25">
      <c r="A148">
        <v>147</v>
      </c>
      <c r="B148" t="s">
        <v>148</v>
      </c>
      <c r="C148" t="str">
        <f>_xlfn.XLOOKUP(B148,[1]Pendentes!$A:$A,[1]Pendentes!$G:$G,"-",0,1)</f>
        <v>patricia.ffleury@pucpr.br</v>
      </c>
      <c r="D148" t="str">
        <f>_xlfn.XLOOKUP(B148,[1]Pendentes!$A:$A,[1]Pendentes!$H:$H,"-",0,1)</f>
        <v>daniele.saheb@pucpr.br</v>
      </c>
      <c r="E148" t="b">
        <f t="shared" si="2"/>
        <v>0</v>
      </c>
      <c r="F148" t="str">
        <f>_xlfn.XLOOKUP(C148,[2]Vinculo!$H:$H,[2]Vinculo!$L:$L,"-",0,1)</f>
        <v>-</v>
      </c>
    </row>
    <row r="149" spans="1:6" hidden="1" x14ac:dyDescent="0.25">
      <c r="A149">
        <v>148</v>
      </c>
      <c r="B149" t="s">
        <v>149</v>
      </c>
      <c r="C149" t="str">
        <f>_xlfn.XLOOKUP(B149,[1]Pendentes!$A:$A,[1]Pendentes!$G:$G,"-",0,1)</f>
        <v>patricia.longhi@pucpr.br</v>
      </c>
      <c r="D149" t="str">
        <f>_xlfn.XLOOKUP(B149,[1]Pendentes!$A:$A,[1]Pendentes!$H:$H,"-",0,1)</f>
        <v>camila.giuliani@pucpr.br</v>
      </c>
      <c r="E149" t="b">
        <f t="shared" si="2"/>
        <v>0</v>
      </c>
      <c r="F149" t="str">
        <f>_xlfn.XLOOKUP(C149,[2]Vinculo!$H:$H,[2]Vinculo!$L:$L,"-",0,1)</f>
        <v>-</v>
      </c>
    </row>
    <row r="150" spans="1:6" x14ac:dyDescent="0.25">
      <c r="A150" s="1">
        <v>149</v>
      </c>
      <c r="B150" s="1" t="s">
        <v>150</v>
      </c>
      <c r="C150" s="1" t="str">
        <f>_xlfn.XLOOKUP(B150,[1]Pendentes!$A:$A,[1]Pendentes!$G:$G,"-",0,1)</f>
        <v>patricia.toliveira@pucpr.br</v>
      </c>
      <c r="D150" s="1" t="str">
        <f>_xlfn.XLOOKUP(B150,[1]Pendentes!$A:$A,[1]Pendentes!$H:$H,"-",0,1)</f>
        <v>patricia.toliveira@pucpr.br</v>
      </c>
      <c r="E150" s="1" t="b">
        <f t="shared" si="2"/>
        <v>1</v>
      </c>
      <c r="F150" s="1" t="str">
        <f>_xlfn.XLOOKUP(C150,[2]Vinculo!$H:$H,[2]Vinculo!$L:$L,"-",0,1)</f>
        <v>miriam.mazo@pucpr.br</v>
      </c>
    </row>
    <row r="151" spans="1:6" hidden="1" x14ac:dyDescent="0.25">
      <c r="A151">
        <v>150</v>
      </c>
      <c r="B151" t="s">
        <v>151</v>
      </c>
      <c r="C151" t="str">
        <f>_xlfn.XLOOKUP(B151,[1]Pendentes!$A:$A,[1]Pendentes!$G:$G,"-",0,1)</f>
        <v>patricia.zrosa@pucpr.br</v>
      </c>
      <c r="D151" t="str">
        <f>_xlfn.XLOOKUP(B151,[1]Pendentes!$A:$A,[1]Pendentes!$H:$H,"-",0,1)</f>
        <v>jose.duran@pucpr.br</v>
      </c>
      <c r="E151" t="b">
        <f t="shared" si="2"/>
        <v>0</v>
      </c>
      <c r="F151" t="str">
        <f>_xlfn.XLOOKUP(C151,[2]Vinculo!$H:$H,[2]Vinculo!$L:$L,"-",0,1)</f>
        <v>-</v>
      </c>
    </row>
    <row r="152" spans="1:6" hidden="1" x14ac:dyDescent="0.25">
      <c r="A152">
        <v>151</v>
      </c>
      <c r="B152" t="s">
        <v>152</v>
      </c>
      <c r="C152" t="str">
        <f>_xlfn.XLOOKUP(B152,[1]Pendentes!$A:$A,[1]Pendentes!$G:$G,"-",0,1)</f>
        <v>paulina.perez@pucpr.br</v>
      </c>
      <c r="D152" t="str">
        <f>_xlfn.XLOOKUP(B152,[1]Pendentes!$A:$A,[1]Pendentes!$H:$H,"-",0,1)</f>
        <v>camila.giuliani@pucpr.br</v>
      </c>
      <c r="E152" t="b">
        <f t="shared" si="2"/>
        <v>0</v>
      </c>
      <c r="F152" t="str">
        <f>_xlfn.XLOOKUP(C152,[2]Vinculo!$H:$H,[2]Vinculo!$L:$L,"-",0,1)</f>
        <v>-</v>
      </c>
    </row>
    <row r="153" spans="1:6" hidden="1" x14ac:dyDescent="0.25">
      <c r="A153">
        <v>152</v>
      </c>
      <c r="B153" t="s">
        <v>153</v>
      </c>
      <c r="C153" t="str">
        <f>_xlfn.XLOOKUP(B153,[1]Pendentes!$A:$A,[1]Pendentes!$G:$G,"-",0,1)</f>
        <v>paulo.herrera@pucpr.br</v>
      </c>
      <c r="D153" t="str">
        <f>_xlfn.XLOOKUP(B153,[1]Pendentes!$A:$A,[1]Pendentes!$H:$H,"-",0,1)</f>
        <v>luci.castro@pucpr.br</v>
      </c>
      <c r="E153" t="b">
        <f t="shared" si="2"/>
        <v>0</v>
      </c>
      <c r="F153" t="str">
        <f>_xlfn.XLOOKUP(C153,[2]Vinculo!$H:$H,[2]Vinculo!$L:$L,"-",0,1)</f>
        <v>-</v>
      </c>
    </row>
    <row r="154" spans="1:6" hidden="1" x14ac:dyDescent="0.25">
      <c r="A154">
        <v>153</v>
      </c>
      <c r="B154" t="s">
        <v>154</v>
      </c>
      <c r="C154" t="str">
        <f>_xlfn.XLOOKUP(B154,[1]Pendentes!$A:$A,[1]Pendentes!$G:$G,"-",0,1)</f>
        <v>paulo.porto@pucpr.br</v>
      </c>
      <c r="D154" t="str">
        <f>_xlfn.XLOOKUP(B154,[1]Pendentes!$A:$A,[1]Pendentes!$H:$H,"-",0,1)</f>
        <v>claudio.skora@pucpr.br</v>
      </c>
      <c r="E154" t="b">
        <f t="shared" si="2"/>
        <v>0</v>
      </c>
      <c r="F154" t="str">
        <f>_xlfn.XLOOKUP(C154,[2]Vinculo!$H:$H,[2]Vinculo!$L:$L,"-",0,1)</f>
        <v>-</v>
      </c>
    </row>
    <row r="155" spans="1:6" hidden="1" x14ac:dyDescent="0.25">
      <c r="A155">
        <v>154</v>
      </c>
      <c r="B155" t="s">
        <v>155</v>
      </c>
      <c r="C155" t="str">
        <f>_xlfn.XLOOKUP(B155,[1]Pendentes!$A:$A,[1]Pendentes!$G:$G,"-",0,1)</f>
        <v>paulo.zaniol@pucpr.br</v>
      </c>
      <c r="D155" t="str">
        <f>_xlfn.XLOOKUP(B155,[1]Pendentes!$A:$A,[1]Pendentes!$H:$H,"-",0,1)</f>
        <v>leonardo.goncalves@pucpr.br</v>
      </c>
      <c r="E155" t="b">
        <f t="shared" si="2"/>
        <v>0</v>
      </c>
      <c r="F155" t="str">
        <f>_xlfn.XLOOKUP(C155,[2]Vinculo!$H:$H,[2]Vinculo!$L:$L,"-",0,1)</f>
        <v>-</v>
      </c>
    </row>
    <row r="156" spans="1:6" hidden="1" x14ac:dyDescent="0.25">
      <c r="A156">
        <v>155</v>
      </c>
      <c r="B156" t="s">
        <v>156</v>
      </c>
      <c r="C156" t="str">
        <f>_xlfn.XLOOKUP(B156,[1]Pendentes!$A:$A,[1]Pendentes!$G:$G,"-",0,1)</f>
        <v>paulo.tanizawa@pucpr.br</v>
      </c>
      <c r="D156" t="str">
        <f>_xlfn.XLOOKUP(B156,[1]Pendentes!$A:$A,[1]Pendentes!$H:$H,"-",0,1)</f>
        <v>santos.clayton@pucpr.br</v>
      </c>
      <c r="E156" t="b">
        <f t="shared" si="2"/>
        <v>0</v>
      </c>
      <c r="F156" t="str">
        <f>_xlfn.XLOOKUP(C156,[2]Vinculo!$H:$H,[2]Vinculo!$L:$L,"-",0,1)</f>
        <v>nadina.moreno@pucpr.br</v>
      </c>
    </row>
    <row r="157" spans="1:6" hidden="1" x14ac:dyDescent="0.25">
      <c r="A157">
        <v>156</v>
      </c>
      <c r="B157" t="s">
        <v>157</v>
      </c>
      <c r="C157" t="str">
        <f>_xlfn.XLOOKUP(B157,[1]Pendentes!$A:$A,[1]Pendentes!$G:$G,"-",0,1)</f>
        <v>paulo.brambilla@pucpr.br</v>
      </c>
      <c r="D157" t="str">
        <f>_xlfn.XLOOKUP(B157,[1]Pendentes!$A:$A,[1]Pendentes!$H:$H,"-",0,1)</f>
        <v>erica.natti@pucpr.br</v>
      </c>
      <c r="E157" t="b">
        <f t="shared" si="2"/>
        <v>0</v>
      </c>
      <c r="F157" t="str">
        <f>_xlfn.XLOOKUP(C157,[2]Vinculo!$H:$H,[2]Vinculo!$L:$L,"-",0,1)</f>
        <v>-</v>
      </c>
    </row>
    <row r="158" spans="1:6" hidden="1" x14ac:dyDescent="0.25">
      <c r="A158">
        <v>157</v>
      </c>
      <c r="B158" t="s">
        <v>158</v>
      </c>
      <c r="C158" t="str">
        <f>_xlfn.XLOOKUP(B158,[1]Pendentes!$A:$A,[1]Pendentes!$G:$G,"-",0,1)</f>
        <v>paulo.hnegreiros@pucpr.br</v>
      </c>
      <c r="D158" t="str">
        <f>_xlfn.XLOOKUP(B158,[1]Pendentes!$A:$A,[1]Pendentes!$H:$H,"-",0,1)</f>
        <v>camila.giuliani@pucpr.br</v>
      </c>
      <c r="E158" t="b">
        <f t="shared" si="2"/>
        <v>0</v>
      </c>
      <c r="F158" t="str">
        <f>_xlfn.XLOOKUP(C158,[2]Vinculo!$H:$H,[2]Vinculo!$L:$L,"-",0,1)</f>
        <v>-</v>
      </c>
    </row>
    <row r="159" spans="1:6" hidden="1" x14ac:dyDescent="0.25">
      <c r="A159">
        <v>158</v>
      </c>
      <c r="B159" t="s">
        <v>159</v>
      </c>
      <c r="C159" t="str">
        <f>_xlfn.XLOOKUP(B159,[1]Pendentes!$A:$A,[1]Pendentes!$G:$G,"-",0,1)</f>
        <v>pedro.guilherme@pucpr.br</v>
      </c>
      <c r="D159" t="str">
        <f>_xlfn.XLOOKUP(B159,[1]Pendentes!$A:$A,[1]Pendentes!$H:$H,"-",0,1)</f>
        <v>claudio.skora@pucpr.br</v>
      </c>
      <c r="E159" t="b">
        <f t="shared" si="2"/>
        <v>0</v>
      </c>
      <c r="F159" t="str">
        <f>_xlfn.XLOOKUP(C159,[2]Vinculo!$H:$H,[2]Vinculo!$L:$L,"-",0,1)</f>
        <v>-</v>
      </c>
    </row>
    <row r="160" spans="1:6" hidden="1" x14ac:dyDescent="0.25">
      <c r="A160">
        <v>159</v>
      </c>
      <c r="B160" t="s">
        <v>160</v>
      </c>
      <c r="C160" t="str">
        <f>_xlfn.XLOOKUP(B160,[1]Pendentes!$A:$A,[1]Pendentes!$G:$G,"-",0,1)</f>
        <v>priscila.bmedeiros@pucpr.br</v>
      </c>
      <c r="D160" t="str">
        <f>_xlfn.XLOOKUP(B160,[1]Pendentes!$A:$A,[1]Pendentes!$H:$H,"-",0,1)</f>
        <v>luci.castro@pucpr.br</v>
      </c>
      <c r="E160" t="b">
        <f t="shared" si="2"/>
        <v>0</v>
      </c>
      <c r="F160" t="str">
        <f>_xlfn.XLOOKUP(C160,[2]Vinculo!$H:$H,[2]Vinculo!$L:$L,"-",0,1)</f>
        <v>-</v>
      </c>
    </row>
    <row r="161" spans="1:6" hidden="1" x14ac:dyDescent="0.25">
      <c r="A161">
        <v>160</v>
      </c>
      <c r="B161" t="s">
        <v>161</v>
      </c>
      <c r="C161" t="str">
        <f>_xlfn.XLOOKUP(B161,[1]Pendentes!$A:$A,[1]Pendentes!$G:$G,"-",0,1)</f>
        <v>priscila.ximenes@pucpr.br</v>
      </c>
      <c r="D161" t="str">
        <f>_xlfn.XLOOKUP(B161,[1]Pendentes!$A:$A,[1]Pendentes!$H:$H,"-",0,1)</f>
        <v>daniele.saheb@pucpr.br</v>
      </c>
      <c r="E161" t="b">
        <f t="shared" si="2"/>
        <v>0</v>
      </c>
      <c r="F161" t="str">
        <f>_xlfn.XLOOKUP(C161,[2]Vinculo!$H:$H,[2]Vinculo!$L:$L,"-",0,1)</f>
        <v>-</v>
      </c>
    </row>
    <row r="162" spans="1:6" hidden="1" x14ac:dyDescent="0.25">
      <c r="A162">
        <v>161</v>
      </c>
      <c r="B162" t="s">
        <v>162</v>
      </c>
      <c r="C162" t="str">
        <f>_xlfn.XLOOKUP(B162,[1]Pendentes!$A:$A,[1]Pendentes!$G:$G,"-",0,1)</f>
        <v>junior.soares@pucpr.br</v>
      </c>
      <c r="D162" t="str">
        <f>_xlfn.XLOOKUP(B162,[1]Pendentes!$A:$A,[1]Pendentes!$H:$H,"-",0,1)</f>
        <v>santos.clayton@pucpr.br</v>
      </c>
      <c r="E162" t="b">
        <f t="shared" si="2"/>
        <v>0</v>
      </c>
      <c r="F162" t="str">
        <f>_xlfn.XLOOKUP(C162,[2]Vinculo!$H:$H,[2]Vinculo!$L:$L,"-",0,1)</f>
        <v>-</v>
      </c>
    </row>
    <row r="163" spans="1:6" hidden="1" x14ac:dyDescent="0.25">
      <c r="A163">
        <v>162</v>
      </c>
      <c r="B163" t="s">
        <v>163</v>
      </c>
      <c r="C163" t="str">
        <f>_xlfn.XLOOKUP(B163,[1]Pendentes!$A:$A,[1]Pendentes!$G:$G,"-",0,1)</f>
        <v>rafael.weissheimer@pucpr.br</v>
      </c>
      <c r="D163" t="str">
        <f>_xlfn.XLOOKUP(B163,[1]Pendentes!$A:$A,[1]Pendentes!$H:$H,"-",0,1)</f>
        <v>camila.giuliani@pucpr.br</v>
      </c>
      <c r="E163" t="b">
        <f t="shared" si="2"/>
        <v>0</v>
      </c>
      <c r="F163" t="str">
        <f>_xlfn.XLOOKUP(C163,[2]Vinculo!$H:$H,[2]Vinculo!$L:$L,"-",0,1)</f>
        <v>-</v>
      </c>
    </row>
    <row r="164" spans="1:6" hidden="1" x14ac:dyDescent="0.25">
      <c r="A164">
        <v>163</v>
      </c>
      <c r="B164" t="s">
        <v>164</v>
      </c>
      <c r="C164" t="str">
        <f>_xlfn.XLOOKUP(B164,[1]Pendentes!$A:$A,[1]Pendentes!$G:$G,"-",0,1)</f>
        <v>raphael.pitta@pucpr.br</v>
      </c>
      <c r="D164" t="str">
        <f>_xlfn.XLOOKUP(B164,[1]Pendentes!$A:$A,[1]Pendentes!$H:$H,"-",0,1)</f>
        <v>luci.castro@pucpr.br</v>
      </c>
      <c r="E164" t="b">
        <f t="shared" si="2"/>
        <v>0</v>
      </c>
      <c r="F164" t="str">
        <f>_xlfn.XLOOKUP(C164,[2]Vinculo!$H:$H,[2]Vinculo!$L:$L,"-",0,1)</f>
        <v>-</v>
      </c>
    </row>
    <row r="165" spans="1:6" hidden="1" x14ac:dyDescent="0.25">
      <c r="A165">
        <v>164</v>
      </c>
      <c r="B165" t="s">
        <v>165</v>
      </c>
      <c r="C165" t="str">
        <f>_xlfn.XLOOKUP(B165,[1]Pendentes!$A:$A,[1]Pendentes!$G:$G,"-",0,1)</f>
        <v>raquel.xavier@pucpr.br</v>
      </c>
      <c r="D165" t="str">
        <f>_xlfn.XLOOKUP(B165,[1]Pendentes!$A:$A,[1]Pendentes!$H:$H,"-",0,1)</f>
        <v>santos.clayton@pucpr.br</v>
      </c>
      <c r="E165" t="b">
        <f t="shared" si="2"/>
        <v>0</v>
      </c>
      <c r="F165" t="str">
        <f>_xlfn.XLOOKUP(C165,[2]Vinculo!$H:$H,[2]Vinculo!$L:$L,"-",0,1)</f>
        <v>-</v>
      </c>
    </row>
    <row r="166" spans="1:6" hidden="1" x14ac:dyDescent="0.25">
      <c r="A166">
        <v>165</v>
      </c>
      <c r="B166" t="s">
        <v>166</v>
      </c>
      <c r="C166" t="str">
        <f>_xlfn.XLOOKUP(B166,[1]Pendentes!$A:$A,[1]Pendentes!$G:$G,"-",0,1)</f>
        <v>raquel.panke@pucpr.br</v>
      </c>
      <c r="D166" t="str">
        <f>_xlfn.XLOOKUP(B166,[1]Pendentes!$A:$A,[1]Pendentes!$H:$H,"-",0,1)</f>
        <v>geovani.moretto@pucpr.br</v>
      </c>
      <c r="E166" t="b">
        <f t="shared" si="2"/>
        <v>0</v>
      </c>
      <c r="F166" t="str">
        <f>_xlfn.XLOOKUP(C166,[2]Vinculo!$H:$H,[2]Vinculo!$L:$L,"-",0,1)</f>
        <v>-</v>
      </c>
    </row>
    <row r="167" spans="1:6" hidden="1" x14ac:dyDescent="0.25">
      <c r="A167">
        <v>166</v>
      </c>
      <c r="B167" t="s">
        <v>167</v>
      </c>
      <c r="C167" t="str">
        <f>_xlfn.XLOOKUP(B167,[1]Pendentes!$A:$A,[1]Pendentes!$G:$G,"-",0,1)</f>
        <v>raquel.leite@pucpr.br</v>
      </c>
      <c r="D167" t="str">
        <f>_xlfn.XLOOKUP(B167,[1]Pendentes!$A:$A,[1]Pendentes!$H:$H,"-",0,1)</f>
        <v>l.kava@pucpr.br</v>
      </c>
      <c r="E167" t="b">
        <f t="shared" si="2"/>
        <v>0</v>
      </c>
      <c r="F167" t="str">
        <f>_xlfn.XLOOKUP(C167,[2]Vinculo!$H:$H,[2]Vinculo!$L:$L,"-",0,1)</f>
        <v>-</v>
      </c>
    </row>
    <row r="168" spans="1:6" hidden="1" x14ac:dyDescent="0.25">
      <c r="A168">
        <v>167</v>
      </c>
      <c r="B168" t="s">
        <v>168</v>
      </c>
      <c r="C168" t="str">
        <f>_xlfn.XLOOKUP(B168,[1]Pendentes!$A:$A,[1]Pendentes!$G:$G,"-",0,1)</f>
        <v>remom.matheus@pucpr.br</v>
      </c>
      <c r="D168" t="str">
        <f>_xlfn.XLOOKUP(B168,[1]Pendentes!$A:$A,[1]Pendentes!$H:$H,"-",0,1)</f>
        <v>camila.parana@pucpr.br</v>
      </c>
      <c r="E168" t="b">
        <f t="shared" si="2"/>
        <v>0</v>
      </c>
      <c r="F168" t="str">
        <f>_xlfn.XLOOKUP(C168,[2]Vinculo!$H:$H,[2]Vinculo!$L:$L,"-",0,1)</f>
        <v>-</v>
      </c>
    </row>
    <row r="169" spans="1:6" hidden="1" x14ac:dyDescent="0.25">
      <c r="A169">
        <v>168</v>
      </c>
      <c r="B169" t="s">
        <v>169</v>
      </c>
      <c r="C169" t="str">
        <f>_xlfn.XLOOKUP(B169,[1]Pendentes!$A:$A,[1]Pendentes!$G:$G,"-",0,1)</f>
        <v>renan.archer@pucpr.br</v>
      </c>
      <c r="D169" t="str">
        <f>_xlfn.XLOOKUP(B169,[1]Pendentes!$A:$A,[1]Pendentes!$H:$H,"-",0,1)</f>
        <v>paulo.camargo@grupomarista.org.br</v>
      </c>
      <c r="E169" t="b">
        <f t="shared" si="2"/>
        <v>0</v>
      </c>
      <c r="F169" t="str">
        <f>_xlfn.XLOOKUP(C169,[2]Vinculo!$H:$H,[2]Vinculo!$L:$L,"-",0,1)</f>
        <v>-</v>
      </c>
    </row>
    <row r="170" spans="1:6" hidden="1" x14ac:dyDescent="0.25">
      <c r="A170">
        <v>169</v>
      </c>
      <c r="B170" t="s">
        <v>170</v>
      </c>
      <c r="C170" t="str">
        <f>_xlfn.XLOOKUP(B170,[1]Pendentes!$A:$A,[1]Pendentes!$G:$G,"-",0,1)</f>
        <v>renan.colombo@pucpr.br</v>
      </c>
      <c r="D170" t="str">
        <f>_xlfn.XLOOKUP(B170,[1]Pendentes!$A:$A,[1]Pendentes!$H:$H,"-",0,1)</f>
        <v>suyanne.souza@pucpr.br</v>
      </c>
      <c r="E170" t="b">
        <f t="shared" si="2"/>
        <v>0</v>
      </c>
      <c r="F170" t="str">
        <f>_xlfn.XLOOKUP(C170,[2]Vinculo!$H:$H,[2]Vinculo!$L:$L,"-",0,1)</f>
        <v>susanne.borges@pucpr.br</v>
      </c>
    </row>
    <row r="171" spans="1:6" hidden="1" x14ac:dyDescent="0.25">
      <c r="A171">
        <v>170</v>
      </c>
      <c r="B171" t="s">
        <v>171</v>
      </c>
      <c r="C171" t="str">
        <f>_xlfn.XLOOKUP(B171,[1]Pendentes!$A:$A,[1]Pendentes!$G:$G,"-",0,1)</f>
        <v>renato.soleiman@pucpr.br</v>
      </c>
      <c r="D171" t="str">
        <f>_xlfn.XLOOKUP(B171,[1]Pendentes!$A:$A,[1]Pendentes!$H:$H,"-",0,1)</f>
        <v>camila.giuliani@pucpr.br</v>
      </c>
      <c r="E171" t="b">
        <f t="shared" si="2"/>
        <v>0</v>
      </c>
      <c r="F171" t="str">
        <f>_xlfn.XLOOKUP(C171,[2]Vinculo!$H:$H,[2]Vinculo!$L:$L,"-",0,1)</f>
        <v>-</v>
      </c>
    </row>
    <row r="172" spans="1:6" hidden="1" x14ac:dyDescent="0.25">
      <c r="A172">
        <v>171</v>
      </c>
      <c r="B172" t="s">
        <v>172</v>
      </c>
      <c r="C172" t="str">
        <f>_xlfn.XLOOKUP(B172,[1]Pendentes!$A:$A,[1]Pendentes!$G:$G,"-",0,1)</f>
        <v>rene.bergel@pucpr.br</v>
      </c>
      <c r="D172" t="str">
        <f>_xlfn.XLOOKUP(B172,[1]Pendentes!$A:$A,[1]Pendentes!$H:$H,"-",0,1)</f>
        <v>claudio.skora@pucpr.br</v>
      </c>
      <c r="E172" t="b">
        <f t="shared" si="2"/>
        <v>0</v>
      </c>
      <c r="F172" t="str">
        <f>_xlfn.XLOOKUP(C172,[2]Vinculo!$H:$H,[2]Vinculo!$L:$L,"-",0,1)</f>
        <v>-</v>
      </c>
    </row>
    <row r="173" spans="1:6" hidden="1" x14ac:dyDescent="0.25">
      <c r="A173">
        <v>172</v>
      </c>
      <c r="B173" t="s">
        <v>173</v>
      </c>
      <c r="C173" t="str">
        <f>_xlfn.XLOOKUP(B173,[1]Pendentes!$A:$A,[1]Pendentes!$G:$G,"-",0,1)</f>
        <v>ricardo.bernardo@pucpr.br</v>
      </c>
      <c r="D173" t="str">
        <f>_xlfn.XLOOKUP(B173,[1]Pendentes!$A:$A,[1]Pendentes!$H:$H,"-",0,1)</f>
        <v>luci.castro@pucpr.br</v>
      </c>
      <c r="E173" t="b">
        <f t="shared" si="2"/>
        <v>0</v>
      </c>
      <c r="F173" t="str">
        <f>_xlfn.XLOOKUP(C173,[2]Vinculo!$H:$H,[2]Vinculo!$L:$L,"-",0,1)</f>
        <v>-</v>
      </c>
    </row>
    <row r="174" spans="1:6" hidden="1" x14ac:dyDescent="0.25">
      <c r="A174">
        <v>173</v>
      </c>
      <c r="B174" t="s">
        <v>174</v>
      </c>
      <c r="C174" t="str">
        <f>_xlfn.XLOOKUP(B174,[1]Pendentes!$A:$A,[1]Pendentes!$G:$G,"-",0,1)</f>
        <v>ricardo.kureski@pucpr.br</v>
      </c>
      <c r="D174" t="str">
        <f>_xlfn.XLOOKUP(B174,[1]Pendentes!$A:$A,[1]Pendentes!$H:$H,"-",0,1)</f>
        <v>jackson.bittencourt@pucpr.br</v>
      </c>
      <c r="E174" t="b">
        <f t="shared" si="2"/>
        <v>0</v>
      </c>
      <c r="F174" t="str">
        <f>_xlfn.XLOOKUP(C174,[2]Vinculo!$H:$H,[2]Vinculo!$L:$L,"-",0,1)</f>
        <v>-</v>
      </c>
    </row>
    <row r="175" spans="1:6" hidden="1" x14ac:dyDescent="0.25">
      <c r="A175">
        <v>174</v>
      </c>
      <c r="B175" t="s">
        <v>175</v>
      </c>
      <c r="C175" t="str">
        <f>_xlfn.XLOOKUP(B175,[1]Pendentes!$A:$A,[1]Pendentes!$G:$G,"-",0,1)</f>
        <v>ricardo.baida@pucpr.br</v>
      </c>
      <c r="D175" t="str">
        <f>_xlfn.XLOOKUP(B175,[1]Pendentes!$A:$A,[1]Pendentes!$H:$H,"-",0,1)</f>
        <v>luci.castro@pucpr.br</v>
      </c>
      <c r="E175" t="b">
        <f t="shared" si="2"/>
        <v>0</v>
      </c>
      <c r="F175" t="str">
        <f>_xlfn.XLOOKUP(C175,[2]Vinculo!$H:$H,[2]Vinculo!$L:$L,"-",0,1)</f>
        <v>-</v>
      </c>
    </row>
    <row r="176" spans="1:6" hidden="1" x14ac:dyDescent="0.25">
      <c r="A176">
        <v>175</v>
      </c>
      <c r="B176" t="s">
        <v>176</v>
      </c>
      <c r="C176" t="str">
        <f>_xlfn.XLOOKUP(B176,[1]Pendentes!$A:$A,[1]Pendentes!$G:$G,"-",0,1)</f>
        <v>roberto.tibaldeo@pucpr.br</v>
      </c>
      <c r="D176" t="str">
        <f>_xlfn.XLOOKUP(B176,[1]Pendentes!$A:$A,[1]Pendentes!$H:$H,"-",0,1)</f>
        <v>geovani.moretto@pucpr.br</v>
      </c>
      <c r="E176" t="b">
        <f t="shared" si="2"/>
        <v>0</v>
      </c>
      <c r="F176" t="str">
        <f>_xlfn.XLOOKUP(C176,[2]Vinculo!$H:$H,[2]Vinculo!$L:$L,"-",0,1)</f>
        <v>-</v>
      </c>
    </row>
    <row r="177" spans="1:6" hidden="1" x14ac:dyDescent="0.25">
      <c r="A177">
        <v>176</v>
      </c>
      <c r="B177" t="s">
        <v>177</v>
      </c>
      <c r="C177" t="str">
        <f>_xlfn.XLOOKUP(B177,[1]Pendentes!$A:$A,[1]Pendentes!$G:$G,"-",0,1)</f>
        <v>roberto.herai@pucpr.br</v>
      </c>
      <c r="D177" t="str">
        <f>_xlfn.XLOOKUP(B177,[1]Pendentes!$A:$A,[1]Pendentes!$H:$H,"-",0,1)</f>
        <v>camila.giuliani@pucpr.br</v>
      </c>
      <c r="E177" t="b">
        <f t="shared" si="2"/>
        <v>0</v>
      </c>
      <c r="F177" t="str">
        <f>_xlfn.XLOOKUP(C177,[2]Vinculo!$H:$H,[2]Vinculo!$L:$L,"-",0,1)</f>
        <v>-</v>
      </c>
    </row>
    <row r="178" spans="1:6" hidden="1" x14ac:dyDescent="0.25">
      <c r="A178">
        <v>177</v>
      </c>
      <c r="B178" t="s">
        <v>178</v>
      </c>
      <c r="C178" t="str">
        <f>_xlfn.XLOOKUP(B178,[1]Pendentes!$A:$A,[1]Pendentes!$G:$G,"-",0,1)</f>
        <v>r.kersten@pucpr.br</v>
      </c>
      <c r="D178" t="str">
        <f>_xlfn.XLOOKUP(B178,[1]Pendentes!$A:$A,[1]Pendentes!$H:$H,"-",0,1)</f>
        <v>ana.greca@pucpr.br</v>
      </c>
      <c r="E178" t="b">
        <f t="shared" si="2"/>
        <v>0</v>
      </c>
      <c r="F178" t="str">
        <f>_xlfn.XLOOKUP(C178,[2]Vinculo!$H:$H,[2]Vinculo!$L:$L,"-",0,1)</f>
        <v>-</v>
      </c>
    </row>
    <row r="179" spans="1:6" hidden="1" x14ac:dyDescent="0.25">
      <c r="A179">
        <v>178</v>
      </c>
      <c r="B179" t="s">
        <v>179</v>
      </c>
      <c r="C179" t="str">
        <f>_xlfn.XLOOKUP(B179,[1]Pendentes!$A:$A,[1]Pendentes!$G:$G,"-",0,1)</f>
        <v>rosa.correa@pucpr.br</v>
      </c>
      <c r="D179" t="str">
        <f>_xlfn.XLOOKUP(B179,[1]Pendentes!$A:$A,[1]Pendentes!$H:$H,"-",0,1)</f>
        <v>daniele.saheb@pucpr.br</v>
      </c>
      <c r="E179" t="b">
        <f t="shared" si="2"/>
        <v>0</v>
      </c>
      <c r="F179" t="str">
        <f>_xlfn.XLOOKUP(C179,[2]Vinculo!$H:$H,[2]Vinculo!$L:$L,"-",0,1)</f>
        <v>-</v>
      </c>
    </row>
    <row r="180" spans="1:6" hidden="1" x14ac:dyDescent="0.25">
      <c r="A180">
        <v>179</v>
      </c>
      <c r="B180" t="s">
        <v>180</v>
      </c>
      <c r="C180" t="str">
        <f>_xlfn.XLOOKUP(B180,[1]Pendentes!$A:$A,[1]Pendentes!$G:$G,"-",0,1)</f>
        <v>rosani.cunha@pucpr.br</v>
      </c>
      <c r="D180" t="str">
        <f>_xlfn.XLOOKUP(B180,[1]Pendentes!$A:$A,[1]Pendentes!$H:$H,"-",0,1)</f>
        <v>geovani.moretto@pucpr.br</v>
      </c>
      <c r="E180" t="b">
        <f t="shared" si="2"/>
        <v>0</v>
      </c>
      <c r="F180" t="str">
        <f>_xlfn.XLOOKUP(C180,[2]Vinculo!$H:$H,[2]Vinculo!$L:$L,"-",0,1)</f>
        <v>-</v>
      </c>
    </row>
    <row r="181" spans="1:6" hidden="1" x14ac:dyDescent="0.25">
      <c r="A181">
        <v>180</v>
      </c>
      <c r="B181" t="s">
        <v>181</v>
      </c>
      <c r="C181" t="str">
        <f>_xlfn.XLOOKUP(B181,[1]Pendentes!$A:$A,[1]Pendentes!$G:$G,"-",0,1)</f>
        <v>ruda.baptista@pucpr.br</v>
      </c>
      <c r="D181" t="str">
        <f>_xlfn.XLOOKUP(B181,[1]Pendentes!$A:$A,[1]Pendentes!$H:$H,"-",0,1)</f>
        <v>santos.clayton@pucpr.br</v>
      </c>
      <c r="E181" t="b">
        <f t="shared" si="2"/>
        <v>0</v>
      </c>
      <c r="F181" t="str">
        <f>_xlfn.XLOOKUP(C181,[2]Vinculo!$H:$H,[2]Vinculo!$L:$L,"-",0,1)</f>
        <v>-</v>
      </c>
    </row>
    <row r="182" spans="1:6" hidden="1" x14ac:dyDescent="0.25">
      <c r="A182">
        <v>181</v>
      </c>
      <c r="B182" t="s">
        <v>182</v>
      </c>
      <c r="C182" t="str">
        <f>_xlfn.XLOOKUP(B182,[1]Pendentes!$A:$A,[1]Pendentes!$G:$G,"-",0,1)</f>
        <v>samarah.freitas@pucpr.br</v>
      </c>
      <c r="D182" t="str">
        <f>_xlfn.XLOOKUP(B182,[1]Pendentes!$A:$A,[1]Pendentes!$H:$H,"-",0,1)</f>
        <v>camila.parana@pucpr.br</v>
      </c>
      <c r="E182" t="b">
        <f t="shared" si="2"/>
        <v>0</v>
      </c>
      <c r="F182" t="str">
        <f>_xlfn.XLOOKUP(C182,[2]Vinculo!$H:$H,[2]Vinculo!$L:$L,"-",0,1)</f>
        <v>-</v>
      </c>
    </row>
    <row r="183" spans="1:6" hidden="1" x14ac:dyDescent="0.25">
      <c r="A183">
        <v>182</v>
      </c>
      <c r="B183" t="s">
        <v>183</v>
      </c>
      <c r="C183" t="str">
        <f>_xlfn.XLOOKUP(B183,[1]Pendentes!$A:$A,[1]Pendentes!$G:$G,"-",0,1)</f>
        <v>sandra.boufler@pucpr.br</v>
      </c>
      <c r="D183" t="str">
        <f>_xlfn.XLOOKUP(B183,[1]Pendentes!$A:$A,[1]Pendentes!$H:$H,"-",0,1)</f>
        <v>ronaldo.alves@pucpr.br</v>
      </c>
      <c r="E183" t="b">
        <f t="shared" si="2"/>
        <v>0</v>
      </c>
      <c r="F183" t="str">
        <f>_xlfn.XLOOKUP(C183,[2]Vinculo!$H:$H,[2]Vinculo!$L:$L,"-",0,1)</f>
        <v>-</v>
      </c>
    </row>
    <row r="184" spans="1:6" hidden="1" x14ac:dyDescent="0.25">
      <c r="A184">
        <v>183</v>
      </c>
      <c r="B184" t="s">
        <v>184</v>
      </c>
      <c r="C184" t="str">
        <f>_xlfn.XLOOKUP(B184,[1]Pendentes!$A:$A,[1]Pendentes!$G:$G,"-",0,1)</f>
        <v>saulo.vrosa@pucpr.br</v>
      </c>
      <c r="D184" t="str">
        <f>_xlfn.XLOOKUP(B184,[1]Pendentes!$A:$A,[1]Pendentes!$H:$H,"-",0,1)</f>
        <v>everdan.carneiro@pucpr.br</v>
      </c>
      <c r="E184" t="b">
        <f t="shared" si="2"/>
        <v>0</v>
      </c>
      <c r="F184" t="str">
        <f>_xlfn.XLOOKUP(C184,[2]Vinculo!$H:$H,[2]Vinculo!$L:$L,"-",0,1)</f>
        <v>-</v>
      </c>
    </row>
    <row r="185" spans="1:6" hidden="1" x14ac:dyDescent="0.25">
      <c r="A185">
        <v>184</v>
      </c>
      <c r="B185" t="s">
        <v>185</v>
      </c>
      <c r="C185" t="str">
        <f>_xlfn.XLOOKUP(B185,[1]Pendentes!$A:$A,[1]Pendentes!$G:$G,"-",0,1)</f>
        <v>shimeny.yoshiy@pucpr.br</v>
      </c>
      <c r="D185" t="str">
        <f>_xlfn.XLOOKUP(B185,[1]Pendentes!$A:$A,[1]Pendentes!$H:$H,"-",0,1)</f>
        <v>mr.garcia@pucpr.br</v>
      </c>
      <c r="E185" t="b">
        <f t="shared" si="2"/>
        <v>0</v>
      </c>
      <c r="F185" t="str">
        <f>_xlfn.XLOOKUP(C185,[2]Vinculo!$H:$H,[2]Vinculo!$L:$L,"-",0,1)</f>
        <v>-</v>
      </c>
    </row>
    <row r="186" spans="1:6" hidden="1" x14ac:dyDescent="0.25">
      <c r="A186">
        <v>185</v>
      </c>
      <c r="B186" t="s">
        <v>186</v>
      </c>
      <c r="C186" t="str">
        <f>_xlfn.XLOOKUP(B186,[1]Pendentes!$A:$A,[1]Pendentes!$G:$G,"-",0,1)</f>
        <v>sidnei.filho@pucpr.br</v>
      </c>
      <c r="D186" t="str">
        <f>_xlfn.XLOOKUP(B186,[1]Pendentes!$A:$A,[1]Pendentes!$H:$H,"-",0,1)</f>
        <v>camila.parana@pucpr.br</v>
      </c>
      <c r="E186" t="b">
        <f t="shared" si="2"/>
        <v>0</v>
      </c>
      <c r="F186" t="str">
        <f>_xlfn.XLOOKUP(C186,[2]Vinculo!$H:$H,[2]Vinculo!$L:$L,"-",0,1)</f>
        <v>-</v>
      </c>
    </row>
    <row r="187" spans="1:6" hidden="1" x14ac:dyDescent="0.25">
      <c r="A187">
        <v>186</v>
      </c>
      <c r="B187" t="s">
        <v>187</v>
      </c>
      <c r="C187" t="str">
        <f>_xlfn.XLOOKUP(B187,[1]Pendentes!$A:$A,[1]Pendentes!$G:$G,"-",0,1)</f>
        <v>silvana.hastreiter@pucpr.br</v>
      </c>
      <c r="D187" t="str">
        <f>_xlfn.XLOOKUP(B187,[1]Pendentes!$A:$A,[1]Pendentes!$H:$H,"-",0,1)</f>
        <v>l.kava@pucpr.br</v>
      </c>
      <c r="E187" t="b">
        <f t="shared" si="2"/>
        <v>0</v>
      </c>
      <c r="F187" t="str">
        <f>_xlfn.XLOOKUP(C187,[2]Vinculo!$H:$H,[2]Vinculo!$L:$L,"-",0,1)</f>
        <v>miriam.mazo@pucpr.br</v>
      </c>
    </row>
    <row r="188" spans="1:6" hidden="1" x14ac:dyDescent="0.25">
      <c r="A188">
        <v>187</v>
      </c>
      <c r="B188" t="s">
        <v>188</v>
      </c>
      <c r="C188" t="str">
        <f>_xlfn.XLOOKUP(B188,[1]Pendentes!$A:$A,[1]Pendentes!$G:$G,"-",0,1)</f>
        <v>sueli.almeida@pucpr.br</v>
      </c>
      <c r="D188" t="str">
        <f>_xlfn.XLOOKUP(B188,[1]Pendentes!$A:$A,[1]Pendentes!$H:$H,"-",0,1)</f>
        <v>jose.duran@pucpr.br</v>
      </c>
      <c r="E188" t="b">
        <f t="shared" si="2"/>
        <v>0</v>
      </c>
      <c r="F188" t="str">
        <f>_xlfn.XLOOKUP(C188,[2]Vinculo!$H:$H,[2]Vinculo!$L:$L,"-",0,1)</f>
        <v>-</v>
      </c>
    </row>
    <row r="189" spans="1:6" x14ac:dyDescent="0.25">
      <c r="A189" s="1">
        <v>188</v>
      </c>
      <c r="B189" s="1" t="s">
        <v>189</v>
      </c>
      <c r="C189" s="1" t="str">
        <f>_xlfn.XLOOKUP(B189,[1]Pendentes!$A:$A,[1]Pendentes!$G:$G,"-",0,1)</f>
        <v>suyanne.souza@pucpr.br</v>
      </c>
      <c r="D189" s="1" t="str">
        <f>_xlfn.XLOOKUP(B189,[1]Pendentes!$A:$A,[1]Pendentes!$H:$H,"-",0,1)</f>
        <v>suyanne.souza@pucpr.br</v>
      </c>
      <c r="E189" s="1" t="b">
        <f t="shared" si="2"/>
        <v>1</v>
      </c>
      <c r="F189" s="1" t="str">
        <f>_xlfn.XLOOKUP(C189,[2]Vinculo!$H:$H,[2]Vinculo!$L:$L,"-",0,1)</f>
        <v>susanne.borges@pucpr.br</v>
      </c>
    </row>
    <row r="190" spans="1:6" hidden="1" x14ac:dyDescent="0.25">
      <c r="A190">
        <v>189</v>
      </c>
      <c r="B190" t="s">
        <v>190</v>
      </c>
      <c r="C190" t="str">
        <f>_xlfn.XLOOKUP(B190,[1]Pendentes!$A:$A,[1]Pendentes!$G:$G,"-",0,1)</f>
        <v>suzana.v@pucpr.br</v>
      </c>
      <c r="D190" t="str">
        <f>_xlfn.XLOOKUP(B190,[1]Pendentes!$A:$A,[1]Pendentes!$H:$H,"-",0,1)</f>
        <v>francine.valenga@pucpr.br</v>
      </c>
      <c r="E190" t="b">
        <f t="shared" si="2"/>
        <v>0</v>
      </c>
      <c r="F190" t="str">
        <f>_xlfn.XLOOKUP(C190,[2]Vinculo!$H:$H,[2]Vinculo!$L:$L,"-",0,1)</f>
        <v>-</v>
      </c>
    </row>
    <row r="191" spans="1:6" hidden="1" x14ac:dyDescent="0.25">
      <c r="A191">
        <v>190</v>
      </c>
      <c r="B191" t="s">
        <v>191</v>
      </c>
      <c r="C191" t="str">
        <f>_xlfn.XLOOKUP(B191,[1]Pendentes!$A:$A,[1]Pendentes!$G:$G,"-",0,1)</f>
        <v>tailine.lisboa1@pucpr.br</v>
      </c>
      <c r="D191" t="str">
        <f>_xlfn.XLOOKUP(B191,[1]Pendentes!$A:$A,[1]Pendentes!$H:$H,"-",0,1)</f>
        <v>ericson.pereira@pucpr.br</v>
      </c>
      <c r="E191" t="b">
        <f t="shared" si="2"/>
        <v>0</v>
      </c>
      <c r="F191" t="str">
        <f>_xlfn.XLOOKUP(C191,[2]Vinculo!$H:$H,[2]Vinculo!$L:$L,"-",0,1)</f>
        <v>-</v>
      </c>
    </row>
    <row r="192" spans="1:6" hidden="1" x14ac:dyDescent="0.25">
      <c r="A192">
        <v>191</v>
      </c>
      <c r="B192" t="s">
        <v>192</v>
      </c>
      <c r="C192" t="str">
        <f>_xlfn.XLOOKUP(B192,[1]Pendentes!$A:$A,[1]Pendentes!$G:$G,"-",0,1)</f>
        <v>talita.fidelis@pucpr.br</v>
      </c>
      <c r="D192" t="str">
        <f>_xlfn.XLOOKUP(B192,[1]Pendentes!$A:$A,[1]Pendentes!$H:$H,"-",0,1)</f>
        <v>santos.clayton@pucpr.br</v>
      </c>
      <c r="E192" t="b">
        <f t="shared" si="2"/>
        <v>0</v>
      </c>
      <c r="F192" t="str">
        <f>_xlfn.XLOOKUP(C192,[2]Vinculo!$H:$H,[2]Vinculo!$L:$L,"-",0,1)</f>
        <v>-</v>
      </c>
    </row>
    <row r="193" spans="1:6" hidden="1" x14ac:dyDescent="0.25">
      <c r="A193">
        <v>192</v>
      </c>
      <c r="B193" t="s">
        <v>193</v>
      </c>
      <c r="C193" t="str">
        <f>_xlfn.XLOOKUP(B193,[1]Pendentes!$A:$A,[1]Pendentes!$G:$G,"-",0,1)</f>
        <v>tatiana.kumer@pucpr.br</v>
      </c>
      <c r="D193" t="str">
        <f>_xlfn.XLOOKUP(B193,[1]Pendentes!$A:$A,[1]Pendentes!$H:$H,"-",0,1)</f>
        <v>camila.giuliani@pucpr.br</v>
      </c>
      <c r="E193" t="b">
        <f t="shared" si="2"/>
        <v>0</v>
      </c>
      <c r="F193" t="str">
        <f>_xlfn.XLOOKUP(C193,[2]Vinculo!$H:$H,[2]Vinculo!$L:$L,"-",0,1)</f>
        <v>-</v>
      </c>
    </row>
    <row r="194" spans="1:6" hidden="1" x14ac:dyDescent="0.25">
      <c r="A194">
        <v>193</v>
      </c>
      <c r="B194" t="s">
        <v>194</v>
      </c>
      <c r="C194" t="str">
        <f>_xlfn.XLOOKUP(B194,[1]Pendentes!$A:$A,[1]Pendentes!$G:$G,"-",0,1)</f>
        <v>thomaz.pessoa@pucpr.br</v>
      </c>
      <c r="D194" t="str">
        <f>_xlfn.XLOOKUP(B194,[1]Pendentes!$A:$A,[1]Pendentes!$H:$H,"-",0,1)</f>
        <v>everdan.carneiro@pucpr.br</v>
      </c>
      <c r="E194" t="b">
        <f t="shared" si="2"/>
        <v>0</v>
      </c>
      <c r="F194" t="str">
        <f>_xlfn.XLOOKUP(C194,[2]Vinculo!$H:$H,[2]Vinculo!$L:$L,"-",0,1)</f>
        <v>-</v>
      </c>
    </row>
    <row r="195" spans="1:6" hidden="1" x14ac:dyDescent="0.25">
      <c r="A195">
        <v>194</v>
      </c>
      <c r="B195" t="s">
        <v>195</v>
      </c>
      <c r="C195" t="str">
        <f>_xlfn.XLOOKUP(B195,[1]Pendentes!$A:$A,[1]Pendentes!$G:$G,"-",0,1)</f>
        <v>ubaldino.filho@pucpr.br</v>
      </c>
      <c r="D195" t="str">
        <f>_xlfn.XLOOKUP(B195,[1]Pendentes!$A:$A,[1]Pendentes!$H:$H,"-",0,1)</f>
        <v>luana.tonin@pucpr.br</v>
      </c>
      <c r="E195" t="b">
        <f t="shared" ref="E195:E206" si="3">D195=C195</f>
        <v>0</v>
      </c>
      <c r="F195" t="str">
        <f>_xlfn.XLOOKUP(C195,[2]Vinculo!$H:$H,[2]Vinculo!$L:$L,"-",0,1)</f>
        <v>-</v>
      </c>
    </row>
    <row r="196" spans="1:6" x14ac:dyDescent="0.25">
      <c r="A196" s="1">
        <v>195</v>
      </c>
      <c r="B196" s="1" t="s">
        <v>196</v>
      </c>
      <c r="C196" s="1" t="str">
        <f>_xlfn.XLOOKUP(B196,[1]Pendentes!$A:$A,[1]Pendentes!$G:$G,"-",0,1)</f>
        <v>valter.klein@pucpr.br</v>
      </c>
      <c r="D196" s="1" t="str">
        <f>_xlfn.XLOOKUP(B196,[1]Pendentes!$A:$A,[1]Pendentes!$H:$H,"-",0,1)</f>
        <v>valter.klein@pucpr.br</v>
      </c>
      <c r="E196" s="1" t="b">
        <f t="shared" si="3"/>
        <v>1</v>
      </c>
      <c r="F196" s="1" t="str">
        <f>_xlfn.XLOOKUP(C196,[2]Vinculo!$H:$H,[2]Vinculo!$L:$L,"-",0,1)</f>
        <v>marco.paludo@pucpr.br</v>
      </c>
    </row>
    <row r="197" spans="1:6" hidden="1" x14ac:dyDescent="0.25">
      <c r="A197">
        <v>196</v>
      </c>
      <c r="B197" t="s">
        <v>197</v>
      </c>
      <c r="C197" t="str">
        <f>_xlfn.XLOOKUP(B197,[1]Pendentes!$A:$A,[1]Pendentes!$G:$G,"-",0,1)</f>
        <v>vania.terra@pucpr.br</v>
      </c>
      <c r="D197" t="str">
        <f>_xlfn.XLOOKUP(B197,[1]Pendentes!$A:$A,[1]Pendentes!$H:$H,"-",0,1)</f>
        <v>luci.castro@pucpr.br</v>
      </c>
      <c r="E197" t="b">
        <f t="shared" si="3"/>
        <v>0</v>
      </c>
      <c r="F197" t="str">
        <f>_xlfn.XLOOKUP(C197,[2]Vinculo!$H:$H,[2]Vinculo!$L:$L,"-",0,1)</f>
        <v>-</v>
      </c>
    </row>
    <row r="198" spans="1:6" hidden="1" x14ac:dyDescent="0.25">
      <c r="A198">
        <v>197</v>
      </c>
      <c r="B198" t="s">
        <v>198</v>
      </c>
      <c r="C198" t="str">
        <f>_xlfn.XLOOKUP(B198,[1]Pendentes!$A:$A,[1]Pendentes!$G:$G,"-",0,1)</f>
        <v>vicente.artuso@pucpr.br</v>
      </c>
      <c r="D198" t="str">
        <f>_xlfn.XLOOKUP(B198,[1]Pendentes!$A:$A,[1]Pendentes!$H:$H,"-",0,1)</f>
        <v>cesar.leandro@pucpr.br</v>
      </c>
      <c r="E198" t="b">
        <f t="shared" si="3"/>
        <v>0</v>
      </c>
      <c r="F198" t="str">
        <f>_xlfn.XLOOKUP(C198,[2]Vinculo!$H:$H,[2]Vinculo!$L:$L,"-",0,1)</f>
        <v>-</v>
      </c>
    </row>
    <row r="199" spans="1:6" hidden="1" x14ac:dyDescent="0.25">
      <c r="A199">
        <v>198</v>
      </c>
      <c r="B199" t="s">
        <v>199</v>
      </c>
      <c r="C199" t="str">
        <f>_xlfn.XLOOKUP(B199,[1]Pendentes!$A:$A,[1]Pendentes!$G:$G,"-",0,1)</f>
        <v>victor.hribeiro@pucpr.br</v>
      </c>
      <c r="D199" t="str">
        <f>_xlfn.XLOOKUP(B199,[1]Pendentes!$A:$A,[1]Pendentes!$H:$H,"-",0,1)</f>
        <v>emerson.donaisky@pucpr.br</v>
      </c>
      <c r="E199" t="b">
        <f t="shared" si="3"/>
        <v>0</v>
      </c>
      <c r="F199" t="str">
        <f>_xlfn.XLOOKUP(C199,[2]Vinculo!$H:$H,[2]Vinculo!$L:$L,"-",0,1)</f>
        <v>-</v>
      </c>
    </row>
    <row r="200" spans="1:6" hidden="1" x14ac:dyDescent="0.25">
      <c r="A200">
        <v>199</v>
      </c>
      <c r="B200" t="s">
        <v>200</v>
      </c>
      <c r="C200" t="str">
        <f>_xlfn.XLOOKUP(B200,[1]Pendentes!$A:$A,[1]Pendentes!$G:$G,"-",0,1)</f>
        <v>victor.costa@pucpr.br</v>
      </c>
      <c r="D200" t="str">
        <f>_xlfn.XLOOKUP(B200,[1]Pendentes!$A:$A,[1]Pendentes!$H:$H,"-",0,1)</f>
        <v>camila.giuliani@pucpr.br</v>
      </c>
      <c r="E200" t="b">
        <f t="shared" si="3"/>
        <v>0</v>
      </c>
      <c r="F200" t="str">
        <f>_xlfn.XLOOKUP(C200,[2]Vinculo!$H:$H,[2]Vinculo!$L:$L,"-",0,1)</f>
        <v>-</v>
      </c>
    </row>
    <row r="201" spans="1:6" hidden="1" x14ac:dyDescent="0.25">
      <c r="A201">
        <v>200</v>
      </c>
      <c r="B201" t="s">
        <v>201</v>
      </c>
      <c r="C201" t="str">
        <f>_xlfn.XLOOKUP(B201,[1]Pendentes!$A:$A,[1]Pendentes!$G:$G,"-",0,1)</f>
        <v>vinicius.sato@pucpr.br</v>
      </c>
      <c r="D201" t="str">
        <f>_xlfn.XLOOKUP(B201,[1]Pendentes!$A:$A,[1]Pendentes!$H:$H,"-",0,1)</f>
        <v>luci.castro@pucpr.br</v>
      </c>
      <c r="E201" t="b">
        <f t="shared" si="3"/>
        <v>0</v>
      </c>
      <c r="F201" t="str">
        <f>_xlfn.XLOOKUP(C201,[2]Vinculo!$H:$H,[2]Vinculo!$L:$L,"-",0,1)</f>
        <v>-</v>
      </c>
    </row>
    <row r="202" spans="1:6" hidden="1" x14ac:dyDescent="0.25">
      <c r="A202">
        <v>201</v>
      </c>
      <c r="B202" t="s">
        <v>202</v>
      </c>
      <c r="C202" t="str">
        <f>_xlfn.XLOOKUP(B202,[1]Pendentes!$A:$A,[1]Pendentes!$G:$G,"-",0,1)</f>
        <v>vinicius.popp@pucpr.br</v>
      </c>
      <c r="D202" t="str">
        <f>_xlfn.XLOOKUP(B202,[1]Pendentes!$A:$A,[1]Pendentes!$H:$H,"-",0,1)</f>
        <v>camila.giuliani@pucpr.br</v>
      </c>
      <c r="E202" t="b">
        <f t="shared" si="3"/>
        <v>0</v>
      </c>
      <c r="F202" t="str">
        <f>_xlfn.XLOOKUP(C202,[2]Vinculo!$H:$H,[2]Vinculo!$L:$L,"-",0,1)</f>
        <v>-</v>
      </c>
    </row>
    <row r="203" spans="1:6" hidden="1" x14ac:dyDescent="0.25">
      <c r="A203">
        <v>202</v>
      </c>
      <c r="B203" t="s">
        <v>203</v>
      </c>
      <c r="C203" t="str">
        <f>_xlfn.XLOOKUP(B203,[1]Pendentes!$A:$A,[1]Pendentes!$G:$G,"-",0,1)</f>
        <v>vitor.loureiro@pucpr.br</v>
      </c>
      <c r="D203" t="str">
        <f>_xlfn.XLOOKUP(B203,[1]Pendentes!$A:$A,[1]Pendentes!$H:$H,"-",0,1)</f>
        <v>camila.giuliani@pucpr.br</v>
      </c>
      <c r="E203" t="b">
        <f t="shared" si="3"/>
        <v>0</v>
      </c>
      <c r="F203" t="str">
        <f>_xlfn.XLOOKUP(C203,[2]Vinculo!$H:$H,[2]Vinculo!$L:$L,"-",0,1)</f>
        <v>-</v>
      </c>
    </row>
    <row r="204" spans="1:6" hidden="1" x14ac:dyDescent="0.25">
      <c r="A204">
        <v>203</v>
      </c>
      <c r="B204" t="s">
        <v>204</v>
      </c>
      <c r="C204" t="str">
        <f>_xlfn.XLOOKUP(B204,[1]Pendentes!$A:$A,[1]Pendentes!$G:$G,"-",0,1)</f>
        <v>walter.bittar@pucpr.br</v>
      </c>
      <c r="D204" t="str">
        <f>_xlfn.XLOOKUP(B204,[1]Pendentes!$A:$A,[1]Pendentes!$H:$H,"-",0,1)</f>
        <v>santos.clayton@pucpr.br</v>
      </c>
      <c r="E204" t="b">
        <f t="shared" si="3"/>
        <v>0</v>
      </c>
      <c r="F204" t="str">
        <f>_xlfn.XLOOKUP(C204,[2]Vinculo!$H:$H,[2]Vinculo!$L:$L,"-",0,1)</f>
        <v>-</v>
      </c>
    </row>
    <row r="205" spans="1:6" hidden="1" x14ac:dyDescent="0.25">
      <c r="A205">
        <v>204</v>
      </c>
      <c r="B205" t="s">
        <v>205</v>
      </c>
      <c r="C205" t="str">
        <f>_xlfn.XLOOKUP(B205,[1]Pendentes!$A:$A,[1]Pendentes!$G:$G,"-",0,1)</f>
        <v>silva.william@pucpr.br</v>
      </c>
      <c r="D205" t="str">
        <f>_xlfn.XLOOKUP(B205,[1]Pendentes!$A:$A,[1]Pendentes!$H:$H,"-",0,1)</f>
        <v>maria.witt@pucpr.br</v>
      </c>
      <c r="E205" t="b">
        <f t="shared" si="3"/>
        <v>0</v>
      </c>
      <c r="F205" t="str">
        <f>_xlfn.XLOOKUP(C205,[2]Vinculo!$H:$H,[2]Vinculo!$L:$L,"-",0,1)</f>
        <v>-</v>
      </c>
    </row>
    <row r="206" spans="1:6" x14ac:dyDescent="0.25">
      <c r="A206" s="1">
        <v>205</v>
      </c>
      <c r="B206" s="1" t="s">
        <v>206</v>
      </c>
      <c r="C206" s="1" t="str">
        <f>_xlfn.XLOOKUP(B206,[1]Pendentes!$A:$A,[1]Pendentes!$G:$G,"-",0,1)</f>
        <v>willian.brosa@pucpr.br</v>
      </c>
      <c r="D206" s="1" t="str">
        <f>_xlfn.XLOOKUP(B206,[1]Pendentes!$A:$A,[1]Pendentes!$H:$H,"-",0,1)</f>
        <v>willian.brosa@pucpr.br</v>
      </c>
      <c r="E206" s="1" t="b">
        <f t="shared" si="3"/>
        <v>1</v>
      </c>
      <c r="F206" s="1" t="str">
        <f>_xlfn.XLOOKUP(C206,[2]Vinculo!$H:$H,[2]Vinculo!$L:$L,"-",0,1)</f>
        <v>ricardo.lopes@pucpr.br</v>
      </c>
    </row>
  </sheetData>
  <autoFilter ref="A1:F206" xr:uid="{00000000-0001-0000-0000-000000000000}">
    <filterColumn colId="4">
      <filters>
        <filter val="VERDADEIRO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90F6F-182B-48A8-9E9F-1B5AEDD1EE10}">
  <dimension ref="A1:A53"/>
  <sheetViews>
    <sheetView tabSelected="1" workbookViewId="0">
      <selection activeCell="A218" sqref="A1:A218"/>
    </sheetView>
  </sheetViews>
  <sheetFormatPr defaultRowHeight="15" x14ac:dyDescent="0.25"/>
  <cols>
    <col min="1" max="1" width="36.28515625" bestFit="1" customWidth="1"/>
  </cols>
  <sheetData>
    <row r="1" spans="1:1" x14ac:dyDescent="0.25">
      <c r="A1" t="s">
        <v>211</v>
      </c>
    </row>
    <row r="2" spans="1:1" x14ac:dyDescent="0.25">
      <c r="A2" t="s">
        <v>212</v>
      </c>
    </row>
    <row r="3" spans="1:1" x14ac:dyDescent="0.25">
      <c r="A3" t="s">
        <v>213</v>
      </c>
    </row>
    <row r="4" spans="1:1" x14ac:dyDescent="0.25">
      <c r="A4" t="s">
        <v>214</v>
      </c>
    </row>
    <row r="5" spans="1:1" x14ac:dyDescent="0.25">
      <c r="A5" t="s">
        <v>215</v>
      </c>
    </row>
    <row r="6" spans="1:1" x14ac:dyDescent="0.25">
      <c r="A6" t="s">
        <v>216</v>
      </c>
    </row>
    <row r="7" spans="1:1" x14ac:dyDescent="0.25">
      <c r="A7" t="s">
        <v>217</v>
      </c>
    </row>
    <row r="8" spans="1:1" x14ac:dyDescent="0.25">
      <c r="A8" t="s">
        <v>218</v>
      </c>
    </row>
    <row r="9" spans="1:1" x14ac:dyDescent="0.25">
      <c r="A9" t="s">
        <v>219</v>
      </c>
    </row>
    <row r="10" spans="1:1" x14ac:dyDescent="0.25">
      <c r="A10" t="s">
        <v>220</v>
      </c>
    </row>
    <row r="11" spans="1:1" x14ac:dyDescent="0.25">
      <c r="A11" t="s">
        <v>221</v>
      </c>
    </row>
    <row r="12" spans="1:1" x14ac:dyDescent="0.25">
      <c r="A12" t="s">
        <v>222</v>
      </c>
    </row>
    <row r="13" spans="1:1" x14ac:dyDescent="0.25">
      <c r="A13" t="s">
        <v>223</v>
      </c>
    </row>
    <row r="14" spans="1:1" x14ac:dyDescent="0.25">
      <c r="A14" t="s">
        <v>224</v>
      </c>
    </row>
    <row r="15" spans="1:1" x14ac:dyDescent="0.25">
      <c r="A15" t="s">
        <v>225</v>
      </c>
    </row>
    <row r="16" spans="1:1" x14ac:dyDescent="0.25">
      <c r="A16" t="s">
        <v>226</v>
      </c>
    </row>
    <row r="17" spans="1:1" x14ac:dyDescent="0.25">
      <c r="A17" t="s">
        <v>227</v>
      </c>
    </row>
    <row r="18" spans="1:1" x14ac:dyDescent="0.25">
      <c r="A18" t="s">
        <v>228</v>
      </c>
    </row>
    <row r="19" spans="1:1" x14ac:dyDescent="0.25">
      <c r="A19" t="s">
        <v>229</v>
      </c>
    </row>
    <row r="20" spans="1:1" x14ac:dyDescent="0.25">
      <c r="A20" t="s">
        <v>230</v>
      </c>
    </row>
    <row r="21" spans="1:1" x14ac:dyDescent="0.25">
      <c r="A21" t="s">
        <v>231</v>
      </c>
    </row>
    <row r="22" spans="1:1" x14ac:dyDescent="0.25">
      <c r="A22" t="s">
        <v>232</v>
      </c>
    </row>
    <row r="23" spans="1:1" x14ac:dyDescent="0.25">
      <c r="A23" t="s">
        <v>233</v>
      </c>
    </row>
    <row r="24" spans="1:1" x14ac:dyDescent="0.25">
      <c r="A24" t="s">
        <v>234</v>
      </c>
    </row>
    <row r="25" spans="1:1" x14ac:dyDescent="0.25">
      <c r="A25" t="s">
        <v>235</v>
      </c>
    </row>
    <row r="26" spans="1:1" x14ac:dyDescent="0.25">
      <c r="A26" t="s">
        <v>236</v>
      </c>
    </row>
    <row r="27" spans="1:1" x14ac:dyDescent="0.25">
      <c r="A27" t="s">
        <v>237</v>
      </c>
    </row>
    <row r="28" spans="1:1" x14ac:dyDescent="0.25">
      <c r="A28" t="s">
        <v>238</v>
      </c>
    </row>
    <row r="29" spans="1:1" x14ac:dyDescent="0.25">
      <c r="A29" t="s">
        <v>239</v>
      </c>
    </row>
    <row r="30" spans="1:1" x14ac:dyDescent="0.25">
      <c r="A30" t="s">
        <v>240</v>
      </c>
    </row>
    <row r="31" spans="1:1" x14ac:dyDescent="0.25">
      <c r="A31" t="s">
        <v>241</v>
      </c>
    </row>
    <row r="32" spans="1:1" x14ac:dyDescent="0.25">
      <c r="A32" t="s">
        <v>242</v>
      </c>
    </row>
    <row r="33" spans="1:1" x14ac:dyDescent="0.25">
      <c r="A33" t="s">
        <v>243</v>
      </c>
    </row>
    <row r="34" spans="1:1" x14ac:dyDescent="0.25">
      <c r="A34" t="s">
        <v>244</v>
      </c>
    </row>
    <row r="35" spans="1:1" x14ac:dyDescent="0.25">
      <c r="A35" t="s">
        <v>245</v>
      </c>
    </row>
    <row r="36" spans="1:1" x14ac:dyDescent="0.25">
      <c r="A36" t="s">
        <v>246</v>
      </c>
    </row>
    <row r="37" spans="1:1" x14ac:dyDescent="0.25">
      <c r="A37" t="s">
        <v>247</v>
      </c>
    </row>
    <row r="38" spans="1:1" x14ac:dyDescent="0.25">
      <c r="A38" t="s">
        <v>248</v>
      </c>
    </row>
    <row r="39" spans="1:1" x14ac:dyDescent="0.25">
      <c r="A39" t="s">
        <v>249</v>
      </c>
    </row>
    <row r="40" spans="1:1" x14ac:dyDescent="0.25">
      <c r="A40" t="s">
        <v>250</v>
      </c>
    </row>
    <row r="41" spans="1:1" x14ac:dyDescent="0.25">
      <c r="A41" t="s">
        <v>251</v>
      </c>
    </row>
    <row r="42" spans="1:1" x14ac:dyDescent="0.25">
      <c r="A42" t="s">
        <v>252</v>
      </c>
    </row>
    <row r="43" spans="1:1" x14ac:dyDescent="0.25">
      <c r="A43" t="s">
        <v>253</v>
      </c>
    </row>
    <row r="44" spans="1:1" x14ac:dyDescent="0.25">
      <c r="A44" t="s">
        <v>254</v>
      </c>
    </row>
    <row r="45" spans="1:1" x14ac:dyDescent="0.25">
      <c r="A45" t="s">
        <v>255</v>
      </c>
    </row>
    <row r="46" spans="1:1" x14ac:dyDescent="0.25">
      <c r="A46" t="s">
        <v>256</v>
      </c>
    </row>
    <row r="47" spans="1:1" x14ac:dyDescent="0.25">
      <c r="A47" t="s">
        <v>257</v>
      </c>
    </row>
    <row r="48" spans="1:1" x14ac:dyDescent="0.25">
      <c r="A48" t="s">
        <v>258</v>
      </c>
    </row>
    <row r="49" spans="1:1" x14ac:dyDescent="0.25">
      <c r="A49" t="s">
        <v>259</v>
      </c>
    </row>
    <row r="50" spans="1:1" x14ac:dyDescent="0.25">
      <c r="A50" t="s">
        <v>260</v>
      </c>
    </row>
    <row r="51" spans="1:1" x14ac:dyDescent="0.25">
      <c r="A51" t="s">
        <v>261</v>
      </c>
    </row>
    <row r="52" spans="1:1" x14ac:dyDescent="0.25">
      <c r="A52" t="s">
        <v>262</v>
      </c>
    </row>
    <row r="53" spans="1:1" x14ac:dyDescent="0.25">
      <c r="A53" t="s">
        <v>263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1CB5DF6176BD419F239FD2FB274704" ma:contentTypeVersion="16" ma:contentTypeDescription="Crie um novo documento." ma:contentTypeScope="" ma:versionID="41fc35933fd7da0ed9181d9cfebc14ef">
  <xsd:schema xmlns:xsd="http://www.w3.org/2001/XMLSchema" xmlns:xs="http://www.w3.org/2001/XMLSchema" xmlns:p="http://schemas.microsoft.com/office/2006/metadata/properties" xmlns:ns2="5a27a990-65ee-49d8-b66b-3a6f169a7712" xmlns:ns3="fa78bd89-2534-4b6e-ba1b-3a4d893a78f6" targetNamespace="http://schemas.microsoft.com/office/2006/metadata/properties" ma:root="true" ma:fieldsID="bdd1109ee22a6b0c16d1776b744c1881" ns2:_="" ns3:_="">
    <xsd:import namespace="5a27a990-65ee-49d8-b66b-3a6f169a7712"/>
    <xsd:import namespace="fa78bd89-2534-4b6e-ba1b-3a4d893a78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27a990-65ee-49d8-b66b-3a6f169a77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3c1f837b-9003-4ae4-92fc-ab83554533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78bd89-2534-4b6e-ba1b-3a4d893a78f6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d156ab87-c7ab-46dc-b70b-3e94b1f3c0af}" ma:internalName="TaxCatchAll" ma:showField="CatchAllData" ma:web="fa78bd89-2534-4b6e-ba1b-3a4d893a78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a78bd89-2534-4b6e-ba1b-3a4d893a78f6" xsi:nil="true"/>
    <lcf76f155ced4ddcb4097134ff3c332f xmlns="5a27a990-65ee-49d8-b66b-3a6f169a771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2E931F-CBA0-4118-A731-1D2970A2908C}"/>
</file>

<file path=customXml/itemProps2.xml><?xml version="1.0" encoding="utf-8"?>
<ds:datastoreItem xmlns:ds="http://schemas.openxmlformats.org/officeDocument/2006/customXml" ds:itemID="{B22E3D24-D2AE-4EAC-A46A-AE8267472A9D}"/>
</file>

<file path=customXml/itemProps3.xml><?xml version="1.0" encoding="utf-8"?>
<ds:datastoreItem xmlns:ds="http://schemas.openxmlformats.org/officeDocument/2006/customXml" ds:itemID="{000489A5-4A53-42E8-BAB6-7CDC13B69DD5}"/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Professores</vt:lpstr>
      <vt:lpstr>CONSOLIDADO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Diogo Jose Varaschin de Oliveira</cp:lastModifiedBy>
  <dcterms:created xsi:type="dcterms:W3CDTF">2026-07-01T15:29:48Z</dcterms:created>
  <dcterms:modified xsi:type="dcterms:W3CDTF">2026-07-01T15:40:01Z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0x010100B91CB5DF6176BD419F239FD2FB274704</vt:lpwstr>
  </property>
</Properties>
</file>